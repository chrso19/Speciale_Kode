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cuments\Python\Speciale_Kode\"/>
    </mc:Choice>
  </mc:AlternateContent>
  <xr:revisionPtr revIDLastSave="0" documentId="8_{CC7171EF-64CE-4200-B419-E5373ABAFBAD}" xr6:coauthVersionLast="47" xr6:coauthVersionMax="47" xr10:uidLastSave="{00000000-0000-0000-0000-000000000000}"/>
  <bookViews>
    <workbookView xWindow="-120" yWindow="-120" windowWidth="29040" windowHeight="15840" xr2:uid="{32966CF7-0892-4895-BFDB-FDB5AC80A4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3" i="1" l="1"/>
  <c r="B33" i="1"/>
  <c r="T33" i="1"/>
  <c r="P19" i="1"/>
  <c r="C33" i="1"/>
  <c r="D33" i="1"/>
  <c r="E33" i="1"/>
  <c r="F33" i="1"/>
  <c r="G33" i="1"/>
  <c r="H33" i="1"/>
  <c r="I33" i="1"/>
  <c r="N19" i="1"/>
  <c r="O19" i="1"/>
  <c r="M19" i="1"/>
  <c r="C19" i="1"/>
  <c r="D19" i="1"/>
  <c r="E19" i="1"/>
  <c r="B19" i="1"/>
  <c r="C5" i="1"/>
  <c r="D5" i="1"/>
  <c r="E5" i="1"/>
  <c r="F5" i="1"/>
  <c r="B5" i="1"/>
  <c r="N33" i="1"/>
  <c r="S33" i="1"/>
  <c r="R33" i="1"/>
  <c r="Q33" i="1"/>
  <c r="P33" i="1"/>
  <c r="O33" i="1"/>
</calcChain>
</file>

<file path=xl/sharedStrings.xml><?xml version="1.0" encoding="utf-8"?>
<sst xmlns="http://schemas.openxmlformats.org/spreadsheetml/2006/main" count="94" uniqueCount="36">
  <si>
    <t>Mean</t>
  </si>
  <si>
    <t>Median</t>
  </si>
  <si>
    <t>Sample variance</t>
  </si>
  <si>
    <t>Sample standard deviation</t>
  </si>
  <si>
    <t>Maximum</t>
  </si>
  <si>
    <t>Minimum</t>
  </si>
  <si>
    <t>Range</t>
  </si>
  <si>
    <t>Q1 percentile</t>
  </si>
  <si>
    <t>Q3 percentile</t>
  </si>
  <si>
    <t>IQR</t>
  </si>
  <si>
    <t>RNN</t>
  </si>
  <si>
    <t>GRU</t>
  </si>
  <si>
    <t>LSTM</t>
  </si>
  <si>
    <t>LSTM AE</t>
  </si>
  <si>
    <t>Actuals</t>
  </si>
  <si>
    <t>average</t>
  </si>
  <si>
    <t>median</t>
  </si>
  <si>
    <t>var.s</t>
  </si>
  <si>
    <t>stdev.s</t>
  </si>
  <si>
    <t>max</t>
  </si>
  <si>
    <t>min</t>
  </si>
  <si>
    <t>max - min</t>
  </si>
  <si>
    <t>PERCENTILE.INC( ; 0.25)</t>
  </si>
  <si>
    <t>PERCENTILE.INC( ; 0.75)</t>
  </si>
  <si>
    <t>Q3 - Q1</t>
  </si>
  <si>
    <t>ARIMA</t>
  </si>
  <si>
    <t>ARIMAX</t>
  </si>
  <si>
    <t>Lasso</t>
  </si>
  <si>
    <t>LightGBM</t>
  </si>
  <si>
    <t>Random Forest</t>
  </si>
  <si>
    <t>SVR</t>
  </si>
  <si>
    <t>XGBoost</t>
  </si>
  <si>
    <t>Moving Average</t>
  </si>
  <si>
    <t>Naïve Persistance</t>
  </si>
  <si>
    <t>Seasonal Naïve</t>
  </si>
  <si>
    <t>Bias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</si>
</sst>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11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2981B-1107-420F-983F-F91EDDD2E324}">
  <dimension ref="A2:T41"/>
  <sheetViews>
    <sheetView tabSelected="1" workbookViewId="0">
      <selection activeCell="J14" sqref="J14"/>
    </sheetView>
  </sheetViews>
  <sheetFormatPr defaultRowHeight="15" x14ac:dyDescent="0.25"/>
  <cols>
    <col min="1" max="1" width="25" bestFit="1" customWidth="1"/>
    <col min="2" max="2" width="10.5703125" bestFit="1" customWidth="1"/>
    <col min="3" max="3" width="14.7109375" bestFit="1" customWidth="1"/>
    <col min="4" max="4" width="10.5703125" bestFit="1" customWidth="1"/>
    <col min="5" max="5" width="11.5703125" bestFit="1" customWidth="1"/>
    <col min="6" max="6" width="14.42578125" bestFit="1" customWidth="1"/>
    <col min="7" max="7" width="8" bestFit="1" customWidth="1"/>
    <col min="8" max="8" width="21.85546875" bestFit="1" customWidth="1"/>
    <col min="9" max="9" width="11.5703125" bestFit="1" customWidth="1"/>
    <col min="12" max="12" width="25" bestFit="1" customWidth="1"/>
    <col min="13" max="13" width="10.5703125" bestFit="1" customWidth="1"/>
    <col min="14" max="14" width="15.28515625" bestFit="1" customWidth="1"/>
    <col min="15" max="15" width="10.5703125" bestFit="1" customWidth="1"/>
    <col min="16" max="16" width="11.5703125" bestFit="1" customWidth="1"/>
    <col min="17" max="17" width="14.42578125" bestFit="1" customWidth="1"/>
    <col min="18" max="18" width="9.5703125" bestFit="1" customWidth="1"/>
    <col min="19" max="19" width="10.5703125" bestFit="1" customWidth="1"/>
    <col min="20" max="20" width="11.5703125" bestFit="1" customWidth="1"/>
  </cols>
  <sheetData>
    <row r="2" spans="1:16" x14ac:dyDescent="0.25"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3" spans="1:16" x14ac:dyDescent="0.25">
      <c r="A3" t="s">
        <v>0</v>
      </c>
      <c r="B3" s="1">
        <v>596.11296769980299</v>
      </c>
      <c r="C3" s="1">
        <v>578.58087158203125</v>
      </c>
      <c r="D3" s="1">
        <v>563.389892578125</v>
      </c>
      <c r="E3" s="1">
        <v>281.03965338768319</v>
      </c>
      <c r="F3" s="1">
        <v>604.455725529338</v>
      </c>
      <c r="H3" t="s">
        <v>15</v>
      </c>
    </row>
    <row r="4" spans="1:16" x14ac:dyDescent="0.25">
      <c r="A4" t="s">
        <v>1</v>
      </c>
      <c r="B4" s="1">
        <v>605.6298828125</v>
      </c>
      <c r="C4" s="1">
        <v>578.58087158203102</v>
      </c>
      <c r="D4" s="1">
        <v>563.389892578125</v>
      </c>
      <c r="E4" s="1">
        <v>443.5723876953125</v>
      </c>
      <c r="F4" s="1">
        <v>636.91206624999995</v>
      </c>
      <c r="H4" t="s">
        <v>16</v>
      </c>
    </row>
    <row r="5" spans="1:16" x14ac:dyDescent="0.25">
      <c r="A5" t="s">
        <v>35</v>
      </c>
      <c r="B5" s="1">
        <f>B3-$F$3</f>
        <v>-8.3427578295350031</v>
      </c>
      <c r="C5" s="1">
        <f t="shared" ref="C5:F5" si="0">C3-$F$3</f>
        <v>-25.874853947306747</v>
      </c>
      <c r="D5" s="1">
        <f t="shared" si="0"/>
        <v>-41.065832951212997</v>
      </c>
      <c r="E5" s="1">
        <f t="shared" si="0"/>
        <v>-323.41607214165481</v>
      </c>
      <c r="F5" s="1">
        <f t="shared" si="0"/>
        <v>0</v>
      </c>
    </row>
    <row r="6" spans="1:16" x14ac:dyDescent="0.25">
      <c r="A6" t="s">
        <v>2</v>
      </c>
      <c r="B6" s="1">
        <v>8688.0054498941154</v>
      </c>
      <c r="C6" s="1">
        <v>5.1704706863646609E-26</v>
      </c>
      <c r="D6" s="1">
        <v>0</v>
      </c>
      <c r="E6" s="1">
        <v>48862.944667574971</v>
      </c>
      <c r="F6" s="1">
        <v>144681.02505555362</v>
      </c>
      <c r="H6" t="s">
        <v>17</v>
      </c>
    </row>
    <row r="7" spans="1:16" x14ac:dyDescent="0.25">
      <c r="A7" t="s">
        <v>3</v>
      </c>
      <c r="B7" s="1">
        <v>93.209470816511541</v>
      </c>
      <c r="C7" s="1">
        <v>2.2738669016379699E-13</v>
      </c>
      <c r="D7" s="1">
        <v>0</v>
      </c>
      <c r="E7" s="1">
        <v>221.04964299354788</v>
      </c>
      <c r="F7" s="1">
        <v>380.36959007727421</v>
      </c>
      <c r="H7" t="s">
        <v>18</v>
      </c>
    </row>
    <row r="8" spans="1:16" x14ac:dyDescent="0.25">
      <c r="A8" t="s">
        <v>4</v>
      </c>
      <c r="B8" s="1">
        <v>714.864501953125</v>
      </c>
      <c r="C8" s="1">
        <v>578.58087158203102</v>
      </c>
      <c r="D8" s="1">
        <v>563.389892578125</v>
      </c>
      <c r="E8" s="1">
        <v>446.009033203125</v>
      </c>
      <c r="F8" s="1">
        <v>4352.6899409999996</v>
      </c>
      <c r="H8" t="s">
        <v>19</v>
      </c>
    </row>
    <row r="9" spans="1:16" x14ac:dyDescent="0.25">
      <c r="A9" t="s">
        <v>5</v>
      </c>
      <c r="B9" s="1">
        <v>476.342041015625</v>
      </c>
      <c r="C9" s="1">
        <v>578.58087158203102</v>
      </c>
      <c r="D9" s="1">
        <v>563.389892578125</v>
      </c>
      <c r="E9" s="1">
        <v>-347.53219604492102</v>
      </c>
      <c r="F9" s="1">
        <v>-284.65025500000002</v>
      </c>
      <c r="H9" t="s">
        <v>20</v>
      </c>
    </row>
    <row r="10" spans="1:16" x14ac:dyDescent="0.25">
      <c r="A10" t="s">
        <v>6</v>
      </c>
      <c r="B10" s="1">
        <v>238.5224609375</v>
      </c>
      <c r="C10" s="1">
        <v>0</v>
      </c>
      <c r="D10" s="1">
        <v>0</v>
      </c>
      <c r="E10" s="1">
        <v>793.54122924804597</v>
      </c>
      <c r="F10" s="1">
        <v>4637.3401959999992</v>
      </c>
      <c r="H10" t="s">
        <v>21</v>
      </c>
    </row>
    <row r="11" spans="1:16" x14ac:dyDescent="0.25">
      <c r="A11" t="s">
        <v>7</v>
      </c>
      <c r="B11" s="1">
        <v>488.498779296875</v>
      </c>
      <c r="C11" s="1">
        <v>578.58087158203102</v>
      </c>
      <c r="D11" s="1">
        <v>563.389892578125</v>
      </c>
      <c r="E11" s="1">
        <v>-3.9939107894897399</v>
      </c>
      <c r="F11" s="1">
        <v>399.81274674999997</v>
      </c>
      <c r="H11" t="s">
        <v>22</v>
      </c>
    </row>
    <row r="12" spans="1:16" x14ac:dyDescent="0.25">
      <c r="A12" t="s">
        <v>8</v>
      </c>
      <c r="B12" s="1">
        <v>694.18798828125</v>
      </c>
      <c r="C12" s="1">
        <v>578.58087158203102</v>
      </c>
      <c r="D12" s="1">
        <v>563.389892578125</v>
      </c>
      <c r="E12" s="1">
        <v>446.008544921875</v>
      </c>
      <c r="F12" s="1">
        <v>804.91197450000004</v>
      </c>
      <c r="H12" t="s">
        <v>23</v>
      </c>
    </row>
    <row r="13" spans="1:16" x14ac:dyDescent="0.25">
      <c r="A13" t="s">
        <v>9</v>
      </c>
      <c r="B13" s="1">
        <v>205.689208984375</v>
      </c>
      <c r="C13" s="1">
        <v>0</v>
      </c>
      <c r="D13" s="1">
        <v>0</v>
      </c>
      <c r="E13" s="1">
        <v>450.00245571136475</v>
      </c>
      <c r="F13" s="1">
        <v>405.09922775000007</v>
      </c>
      <c r="H13" t="s">
        <v>24</v>
      </c>
    </row>
    <row r="16" spans="1:16" x14ac:dyDescent="0.25">
      <c r="B16" t="s">
        <v>33</v>
      </c>
      <c r="C16" t="s">
        <v>32</v>
      </c>
      <c r="D16" t="s">
        <v>34</v>
      </c>
      <c r="E16" t="s">
        <v>14</v>
      </c>
      <c r="M16" t="s">
        <v>33</v>
      </c>
      <c r="N16" t="s">
        <v>32</v>
      </c>
      <c r="O16" t="s">
        <v>34</v>
      </c>
      <c r="P16" t="s">
        <v>14</v>
      </c>
    </row>
    <row r="17" spans="1:20" x14ac:dyDescent="0.25">
      <c r="A17" t="s">
        <v>0</v>
      </c>
      <c r="B17" s="1">
        <v>562.32146471919032</v>
      </c>
      <c r="C17" s="1">
        <v>596.66340038631165</v>
      </c>
      <c r="D17" s="1">
        <v>604.92541325339471</v>
      </c>
      <c r="E17" s="1">
        <v>604.455725529338</v>
      </c>
      <c r="L17" t="s">
        <v>0</v>
      </c>
      <c r="M17" s="1">
        <v>548.95996397259387</v>
      </c>
      <c r="N17" s="1">
        <v>606.49279080647864</v>
      </c>
      <c r="O17" s="1">
        <v>616.18886633905754</v>
      </c>
      <c r="P17" s="1">
        <v>615.74255579857413</v>
      </c>
    </row>
    <row r="18" spans="1:20" x14ac:dyDescent="0.25">
      <c r="A18" t="s">
        <v>1</v>
      </c>
      <c r="B18" s="1">
        <v>648.00520500000005</v>
      </c>
      <c r="C18" s="1">
        <v>581.32933175921107</v>
      </c>
      <c r="D18" s="1">
        <v>616.73043191666648</v>
      </c>
      <c r="E18" s="1">
        <v>636.91206624999995</v>
      </c>
      <c r="L18" t="s">
        <v>1</v>
      </c>
      <c r="M18" s="1">
        <v>614.20433800000001</v>
      </c>
      <c r="N18" s="1">
        <v>589.30274739735341</v>
      </c>
      <c r="O18" s="1">
        <v>614.01313545833295</v>
      </c>
      <c r="P18" s="1">
        <v>639.77650562500003</v>
      </c>
    </row>
    <row r="19" spans="1:20" x14ac:dyDescent="0.25">
      <c r="A19" t="s">
        <v>35</v>
      </c>
      <c r="B19" s="1">
        <f>B17-$E$17</f>
        <v>-42.13426081014768</v>
      </c>
      <c r="C19" s="1">
        <f t="shared" ref="C19:E19" si="1">C17-$E$17</f>
        <v>-7.7923251430263463</v>
      </c>
      <c r="D19" s="1">
        <f t="shared" si="1"/>
        <v>0.46968772405671189</v>
      </c>
      <c r="E19" s="1">
        <f t="shared" si="1"/>
        <v>0</v>
      </c>
      <c r="L19" t="s">
        <v>35</v>
      </c>
      <c r="M19" s="1">
        <f>M17-$P$17</f>
        <v>-66.782591825980262</v>
      </c>
      <c r="N19" s="1">
        <f t="shared" ref="N19:P19" si="2">N17-$P$17</f>
        <v>-9.2497649920954927</v>
      </c>
      <c r="O19" s="1">
        <f t="shared" si="2"/>
        <v>0.44631054048340957</v>
      </c>
      <c r="P19" s="1">
        <f t="shared" si="2"/>
        <v>0</v>
      </c>
    </row>
    <row r="20" spans="1:20" x14ac:dyDescent="0.25">
      <c r="A20" t="s">
        <v>2</v>
      </c>
      <c r="B20" s="1">
        <v>42147.730959806257</v>
      </c>
      <c r="C20" s="1">
        <v>31893.718617778213</v>
      </c>
      <c r="D20" s="1">
        <v>92534.211739263003</v>
      </c>
      <c r="E20" s="1">
        <v>144681.02505555362</v>
      </c>
      <c r="L20" t="s">
        <v>2</v>
      </c>
      <c r="M20" s="1">
        <v>49527.805278521118</v>
      </c>
      <c r="N20" s="1">
        <v>33808.703313409365</v>
      </c>
      <c r="O20" s="1">
        <v>98194.316689767831</v>
      </c>
      <c r="P20" s="1">
        <v>149351.960194766</v>
      </c>
    </row>
    <row r="21" spans="1:20" x14ac:dyDescent="0.25">
      <c r="A21" t="s">
        <v>3</v>
      </c>
      <c r="B21" s="1">
        <v>205.29912556999909</v>
      </c>
      <c r="C21" s="1">
        <v>178.58812563487589</v>
      </c>
      <c r="D21" s="1">
        <v>304.19436506822905</v>
      </c>
      <c r="E21" s="1">
        <v>380.36959007727421</v>
      </c>
      <c r="L21" t="s">
        <v>3</v>
      </c>
      <c r="M21" s="1">
        <v>222.54843355665551</v>
      </c>
      <c r="N21" s="1">
        <v>183.87143147702247</v>
      </c>
      <c r="O21" s="1">
        <v>313.35972410277589</v>
      </c>
      <c r="P21" s="1">
        <v>386.46081327188398</v>
      </c>
    </row>
    <row r="22" spans="1:20" x14ac:dyDescent="0.25">
      <c r="A22" t="s">
        <v>4</v>
      </c>
      <c r="B22" s="1">
        <v>917.30860099999995</v>
      </c>
      <c r="C22" s="1">
        <v>1247.8296249477</v>
      </c>
      <c r="D22" s="1">
        <v>2747.2333170000002</v>
      </c>
      <c r="E22" s="1">
        <v>4352.6899409999996</v>
      </c>
      <c r="L22" t="s">
        <v>4</v>
      </c>
      <c r="M22" s="1">
        <v>955.09002699999996</v>
      </c>
      <c r="N22" s="1">
        <v>1298.8596371650101</v>
      </c>
      <c r="O22" s="1">
        <v>2747.3067219999998</v>
      </c>
      <c r="P22" s="1">
        <v>4352.6899409999996</v>
      </c>
    </row>
    <row r="23" spans="1:20" x14ac:dyDescent="0.25">
      <c r="A23" t="s">
        <v>5</v>
      </c>
      <c r="B23" s="1">
        <v>16.110001</v>
      </c>
      <c r="C23" s="1">
        <v>189.53959044082299</v>
      </c>
      <c r="D23" s="1">
        <v>-124.17247966666601</v>
      </c>
      <c r="E23" s="1">
        <v>-284.65025500000002</v>
      </c>
      <c r="L23" t="s">
        <v>5</v>
      </c>
      <c r="M23" s="1">
        <v>18.940000999999999</v>
      </c>
      <c r="N23" s="1">
        <v>291.33854566419001</v>
      </c>
      <c r="O23" s="1">
        <v>-120.119084</v>
      </c>
      <c r="P23" s="1">
        <v>-189.10339500000001</v>
      </c>
    </row>
    <row r="24" spans="1:20" x14ac:dyDescent="0.25">
      <c r="A24" t="s">
        <v>6</v>
      </c>
      <c r="B24" s="1">
        <v>901.19859999999994</v>
      </c>
      <c r="C24" s="1">
        <v>1058.290034506877</v>
      </c>
      <c r="D24" s="1">
        <v>2871.405796666666</v>
      </c>
      <c r="E24" s="1">
        <v>4637.3401959999992</v>
      </c>
      <c r="L24" t="s">
        <v>6</v>
      </c>
      <c r="M24" s="1">
        <v>936.15002599999991</v>
      </c>
      <c r="N24" s="1">
        <v>1007.5210915008201</v>
      </c>
      <c r="O24" s="1">
        <v>2867.4258059999997</v>
      </c>
      <c r="P24" s="1">
        <v>4541.7933359999997</v>
      </c>
    </row>
    <row r="25" spans="1:20" x14ac:dyDescent="0.25">
      <c r="A25" t="s">
        <v>7</v>
      </c>
      <c r="B25" s="1">
        <v>450.06087650000001</v>
      </c>
      <c r="C25" s="1">
        <v>491.51033224062849</v>
      </c>
      <c r="D25" s="1">
        <v>430.87842275000003</v>
      </c>
      <c r="E25" s="1">
        <v>399.81274674999997</v>
      </c>
      <c r="L25" t="s">
        <v>7</v>
      </c>
      <c r="M25" s="1">
        <v>446.96229099999999</v>
      </c>
      <c r="N25" s="1">
        <v>495.90734964744922</v>
      </c>
      <c r="O25" s="1">
        <v>431.13977116666626</v>
      </c>
      <c r="P25" s="1">
        <v>385.85428024999999</v>
      </c>
    </row>
    <row r="26" spans="1:20" x14ac:dyDescent="0.25">
      <c r="A26" t="s">
        <v>8</v>
      </c>
      <c r="B26" s="1">
        <v>680.94818499999997</v>
      </c>
      <c r="C26" s="1">
        <v>668.60126730194429</v>
      </c>
      <c r="D26" s="1">
        <v>772.99026875000004</v>
      </c>
      <c r="E26" s="1">
        <v>804.91197450000004</v>
      </c>
      <c r="L26" t="s">
        <v>8</v>
      </c>
      <c r="M26" s="1">
        <v>678.38150925000002</v>
      </c>
      <c r="N26" s="1">
        <v>669.84082565540302</v>
      </c>
      <c r="O26" s="1">
        <v>787.17290049999974</v>
      </c>
      <c r="P26" s="1">
        <v>815.77860274999989</v>
      </c>
    </row>
    <row r="27" spans="1:20" x14ac:dyDescent="0.25">
      <c r="A27" t="s">
        <v>9</v>
      </c>
      <c r="B27" s="1">
        <v>230.88730849999996</v>
      </c>
      <c r="C27" s="1">
        <v>177.0909350613158</v>
      </c>
      <c r="D27" s="1">
        <v>342.11184600000001</v>
      </c>
      <c r="E27" s="1">
        <v>405.09922775000007</v>
      </c>
      <c r="L27" t="s">
        <v>9</v>
      </c>
      <c r="M27" s="1">
        <v>231.41921825000003</v>
      </c>
      <c r="N27" s="1">
        <v>173.9334760079538</v>
      </c>
      <c r="O27" s="1">
        <v>356.03312933333348</v>
      </c>
      <c r="P27" s="1">
        <v>429.9243224999999</v>
      </c>
    </row>
    <row r="30" spans="1:20" x14ac:dyDescent="0.25">
      <c r="B30" t="s">
        <v>25</v>
      </c>
      <c r="C30" t="s">
        <v>26</v>
      </c>
      <c r="D30" t="s">
        <v>27</v>
      </c>
      <c r="E30" t="s">
        <v>28</v>
      </c>
      <c r="F30" t="s">
        <v>29</v>
      </c>
      <c r="G30" t="s">
        <v>30</v>
      </c>
      <c r="H30" t="s">
        <v>31</v>
      </c>
      <c r="I30" t="s">
        <v>14</v>
      </c>
      <c r="M30" t="s">
        <v>25</v>
      </c>
      <c r="N30" t="s">
        <v>26</v>
      </c>
      <c r="O30" t="s">
        <v>27</v>
      </c>
      <c r="P30" t="s">
        <v>28</v>
      </c>
      <c r="Q30" t="s">
        <v>29</v>
      </c>
      <c r="R30" t="s">
        <v>30</v>
      </c>
      <c r="S30" t="s">
        <v>31</v>
      </c>
      <c r="T30" t="s">
        <v>14</v>
      </c>
    </row>
    <row r="31" spans="1:20" x14ac:dyDescent="0.25">
      <c r="A31" t="s">
        <v>0</v>
      </c>
      <c r="B31" s="1">
        <v>648.6686343888731</v>
      </c>
      <c r="C31" s="1">
        <v>633.57071528170297</v>
      </c>
      <c r="D31" s="1">
        <v>605.50125532254708</v>
      </c>
      <c r="E31" s="1">
        <v>708.79658944693153</v>
      </c>
      <c r="F31" s="1">
        <v>615.06484135038352</v>
      </c>
      <c r="G31" s="1">
        <v>743.85134477805934</v>
      </c>
      <c r="H31" s="1">
        <v>617.47254866531728</v>
      </c>
      <c r="I31" s="1">
        <v>604.455725529338</v>
      </c>
      <c r="L31" t="s">
        <v>0</v>
      </c>
      <c r="M31" s="1">
        <v>656.33147970441007</v>
      </c>
      <c r="N31" s="2">
        <v>-511179264.47858965</v>
      </c>
      <c r="O31" s="1">
        <v>312.11579019112071</v>
      </c>
      <c r="P31" s="1">
        <v>420.43017576071048</v>
      </c>
      <c r="Q31" s="1">
        <v>343.51482514166122</v>
      </c>
      <c r="R31" s="1">
        <v>576.508564308328</v>
      </c>
      <c r="S31" s="1">
        <v>354.59273728584049</v>
      </c>
      <c r="T31" s="1">
        <v>615.74255579857413</v>
      </c>
    </row>
    <row r="32" spans="1:20" x14ac:dyDescent="0.25">
      <c r="A32" t="s">
        <v>1</v>
      </c>
      <c r="B32" s="1">
        <v>650.52845999967099</v>
      </c>
      <c r="C32" s="1">
        <v>624.37534510332603</v>
      </c>
      <c r="D32" s="1">
        <v>635.55385779569349</v>
      </c>
      <c r="E32" s="1">
        <v>707.39932644626356</v>
      </c>
      <c r="F32" s="1">
        <v>621.15107684250006</v>
      </c>
      <c r="G32" s="1">
        <v>743.39884688077245</v>
      </c>
      <c r="H32" s="1">
        <v>633.25552368163994</v>
      </c>
      <c r="I32" s="1">
        <v>636.91206624999995</v>
      </c>
      <c r="L32" t="s">
        <v>1</v>
      </c>
      <c r="M32" s="1">
        <v>647.24660801377502</v>
      </c>
      <c r="N32" s="2">
        <v>-499797305.32347149</v>
      </c>
      <c r="O32" s="1">
        <v>301.46677872698297</v>
      </c>
      <c r="P32" s="1">
        <v>394.03282125225002</v>
      </c>
      <c r="Q32" s="1">
        <v>320.43626668054196</v>
      </c>
      <c r="R32" s="1">
        <v>576.55360874626149</v>
      </c>
      <c r="S32" s="1">
        <v>331.21296691894497</v>
      </c>
      <c r="T32" s="1">
        <v>639.77650562500003</v>
      </c>
    </row>
    <row r="33" spans="1:20" x14ac:dyDescent="0.25">
      <c r="A33" t="s">
        <v>35</v>
      </c>
      <c r="B33" s="1">
        <f t="shared" ref="B33:I33" si="3">B31-$I$31</f>
        <v>44.212908859535105</v>
      </c>
      <c r="C33" s="1">
        <f t="shared" si="3"/>
        <v>29.114989752364977</v>
      </c>
      <c r="D33" s="1">
        <f t="shared" si="3"/>
        <v>1.0455297932090843</v>
      </c>
      <c r="E33" s="1">
        <f t="shared" si="3"/>
        <v>104.34086391759354</v>
      </c>
      <c r="F33" s="1">
        <f t="shared" si="3"/>
        <v>10.609115821045521</v>
      </c>
      <c r="G33" s="1">
        <f t="shared" si="3"/>
        <v>139.39561924872135</v>
      </c>
      <c r="H33" s="1">
        <f t="shared" si="3"/>
        <v>13.01682313597928</v>
      </c>
      <c r="I33" s="1">
        <f t="shared" si="3"/>
        <v>0</v>
      </c>
      <c r="L33" t="s">
        <v>35</v>
      </c>
      <c r="M33" s="1">
        <f t="shared" ref="M33:T33" si="4">M31-$T$31</f>
        <v>40.588923905835941</v>
      </c>
      <c r="N33" s="2">
        <f t="shared" si="4"/>
        <v>-511179880.22114545</v>
      </c>
      <c r="O33" s="1">
        <f t="shared" si="4"/>
        <v>-303.62676560745342</v>
      </c>
      <c r="P33" s="1">
        <f t="shared" si="4"/>
        <v>-195.31238003786365</v>
      </c>
      <c r="Q33" s="1">
        <f t="shared" si="4"/>
        <v>-272.22773065691291</v>
      </c>
      <c r="R33" s="1">
        <f t="shared" si="4"/>
        <v>-39.233991490246126</v>
      </c>
      <c r="S33" s="1">
        <f t="shared" si="4"/>
        <v>-261.14981851273365</v>
      </c>
      <c r="T33" s="1">
        <f t="shared" si="4"/>
        <v>0</v>
      </c>
    </row>
    <row r="34" spans="1:20" x14ac:dyDescent="0.25">
      <c r="A34" t="s">
        <v>2</v>
      </c>
      <c r="B34" s="1">
        <v>71916.649270033231</v>
      </c>
      <c r="C34" s="1">
        <v>85966.235645610097</v>
      </c>
      <c r="D34" s="1">
        <v>78221.713464241751</v>
      </c>
      <c r="E34" s="1">
        <v>42081.525172026602</v>
      </c>
      <c r="F34" s="1">
        <v>87733.851714097691</v>
      </c>
      <c r="G34" s="1">
        <v>343.31678735428318</v>
      </c>
      <c r="H34" s="1">
        <v>79737.639569410472</v>
      </c>
      <c r="I34" s="1">
        <v>144681.02505555362</v>
      </c>
      <c r="L34" t="s">
        <v>2</v>
      </c>
      <c r="M34" s="1">
        <v>72514.444612314139</v>
      </c>
      <c r="N34" s="2">
        <v>3.9277048897206202E+17</v>
      </c>
      <c r="O34" s="1">
        <v>19449.127006950072</v>
      </c>
      <c r="P34" s="1">
        <v>9392.3139657634274</v>
      </c>
      <c r="Q34" s="1">
        <v>14655.595733856104</v>
      </c>
      <c r="R34" s="1">
        <v>7339.3997268014227</v>
      </c>
      <c r="S34" s="1">
        <v>12224.049700213971</v>
      </c>
      <c r="T34" s="1">
        <v>149351.960194766</v>
      </c>
    </row>
    <row r="35" spans="1:20" x14ac:dyDescent="0.25">
      <c r="A35" t="s">
        <v>3</v>
      </c>
      <c r="B35" s="1">
        <v>268.17279740874767</v>
      </c>
      <c r="C35" s="1">
        <v>293.19999257436911</v>
      </c>
      <c r="D35" s="1">
        <v>279.68144998237148</v>
      </c>
      <c r="E35" s="1">
        <v>205.13781994558343</v>
      </c>
      <c r="F35" s="1">
        <v>296.19900694313225</v>
      </c>
      <c r="G35" s="1">
        <v>18.528809658320828</v>
      </c>
      <c r="H35" s="1">
        <v>282.37853949868514</v>
      </c>
      <c r="I35" s="1">
        <v>380.36959007727421</v>
      </c>
      <c r="L35" t="s">
        <v>3</v>
      </c>
      <c r="M35" s="1">
        <v>269.2850619925178</v>
      </c>
      <c r="N35" s="2">
        <v>626714040.82887912</v>
      </c>
      <c r="O35" s="1">
        <v>139.46012694297275</v>
      </c>
      <c r="P35" s="1">
        <v>96.91395134738562</v>
      </c>
      <c r="Q35" s="1">
        <v>121.06029792568704</v>
      </c>
      <c r="R35" s="1">
        <v>85.670296642426905</v>
      </c>
      <c r="S35" s="1">
        <v>110.56242444978298</v>
      </c>
      <c r="T35" s="1">
        <v>386.46081327188398</v>
      </c>
    </row>
    <row r="36" spans="1:20" x14ac:dyDescent="0.25">
      <c r="A36" t="s">
        <v>4</v>
      </c>
      <c r="B36" s="1">
        <v>1375.2986880133501</v>
      </c>
      <c r="C36" s="1">
        <v>2429.6579357494102</v>
      </c>
      <c r="D36" s="1">
        <v>2311.21284945568</v>
      </c>
      <c r="E36" s="1">
        <v>1772.67802396098</v>
      </c>
      <c r="F36" s="1">
        <v>2357.089963375</v>
      </c>
      <c r="G36" s="1">
        <v>816.84432582243096</v>
      </c>
      <c r="H36" s="1">
        <v>2279.66381835937</v>
      </c>
      <c r="I36" s="1">
        <v>4352.6899409999996</v>
      </c>
      <c r="L36" t="s">
        <v>4</v>
      </c>
      <c r="M36" s="1">
        <v>1403.5917571385601</v>
      </c>
      <c r="N36" s="2">
        <v>996698197.77139294</v>
      </c>
      <c r="O36" s="1">
        <v>914.11152604171104</v>
      </c>
      <c r="P36" s="1">
        <v>674.87230698549502</v>
      </c>
      <c r="Q36" s="1">
        <v>648.80954879385399</v>
      </c>
      <c r="R36" s="1">
        <v>919.52446253120195</v>
      </c>
      <c r="S36" s="1">
        <v>668.60504150390602</v>
      </c>
      <c r="T36" s="1">
        <v>4352.6899409999996</v>
      </c>
    </row>
    <row r="37" spans="1:20" x14ac:dyDescent="0.25">
      <c r="A37" t="s">
        <v>5</v>
      </c>
      <c r="B37" s="1">
        <v>27.322662662287499</v>
      </c>
      <c r="C37" s="1">
        <v>-417.62630305820397</v>
      </c>
      <c r="D37" s="1">
        <v>-434.49063248790401</v>
      </c>
      <c r="E37" s="1">
        <v>167.00738618137399</v>
      </c>
      <c r="F37" s="1">
        <v>-325.70424784499897</v>
      </c>
      <c r="G37" s="1">
        <v>680.30165764105004</v>
      </c>
      <c r="H37" s="1">
        <v>-416.24639892578102</v>
      </c>
      <c r="I37" s="1">
        <v>-284.65025500000002</v>
      </c>
      <c r="L37" t="s">
        <v>5</v>
      </c>
      <c r="M37" s="1">
        <v>12.317842862764101</v>
      </c>
      <c r="N37" s="2">
        <v>-2587288750.5188999</v>
      </c>
      <c r="O37" s="1">
        <v>-62.090707030967302</v>
      </c>
      <c r="P37" s="1">
        <v>271.14655848343602</v>
      </c>
      <c r="Q37" s="1">
        <v>104.063227141917</v>
      </c>
      <c r="R37" s="1">
        <v>338.19133697818302</v>
      </c>
      <c r="S37" s="1">
        <v>115.142707824707</v>
      </c>
      <c r="T37" s="1">
        <v>-189.10339500000001</v>
      </c>
    </row>
    <row r="38" spans="1:20" x14ac:dyDescent="0.25">
      <c r="A38" t="s">
        <v>6</v>
      </c>
      <c r="B38" s="1">
        <v>1347.9760253510626</v>
      </c>
      <c r="C38" s="1">
        <v>2847.2842388076142</v>
      </c>
      <c r="D38" s="1">
        <v>2745.7034819435839</v>
      </c>
      <c r="E38" s="1">
        <v>1605.6706377796061</v>
      </c>
      <c r="F38" s="1">
        <v>2682.7942112199989</v>
      </c>
      <c r="G38" s="1">
        <v>136.54266818138092</v>
      </c>
      <c r="H38" s="1">
        <v>2695.9102172851508</v>
      </c>
      <c r="I38" s="1">
        <v>4637.3401959999992</v>
      </c>
      <c r="L38" t="s">
        <v>6</v>
      </c>
      <c r="M38" s="1">
        <v>1391.273914275796</v>
      </c>
      <c r="N38" s="2">
        <v>3583986948.2902927</v>
      </c>
      <c r="O38" s="1">
        <v>976.20223307267838</v>
      </c>
      <c r="P38" s="1">
        <v>403.72574850205899</v>
      </c>
      <c r="Q38" s="1">
        <v>544.74632165193702</v>
      </c>
      <c r="R38" s="1">
        <v>581.33312555301893</v>
      </c>
      <c r="S38" s="1">
        <v>553.46233367919899</v>
      </c>
      <c r="T38" s="1">
        <v>4541.7933359999997</v>
      </c>
    </row>
    <row r="39" spans="1:20" x14ac:dyDescent="0.25">
      <c r="A39" t="s">
        <v>7</v>
      </c>
      <c r="B39" s="1">
        <v>483.05802993728503</v>
      </c>
      <c r="C39" s="1">
        <v>466.02694429564121</v>
      </c>
      <c r="D39" s="1">
        <v>456.39124149683255</v>
      </c>
      <c r="E39" s="1">
        <v>601.91826503326695</v>
      </c>
      <c r="F39" s="1">
        <v>445.02189998749998</v>
      </c>
      <c r="G39" s="1">
        <v>731.56401850831503</v>
      </c>
      <c r="H39" s="1">
        <v>444.16436004638626</v>
      </c>
      <c r="I39" s="1">
        <v>399.81274674999997</v>
      </c>
      <c r="L39" t="s">
        <v>7</v>
      </c>
      <c r="M39" s="1">
        <v>479.35280923738623</v>
      </c>
      <c r="N39" s="2">
        <v>-949528947.358634</v>
      </c>
      <c r="O39" s="1">
        <v>214.5991558685775</v>
      </c>
      <c r="P39" s="1">
        <v>346.89203333311502</v>
      </c>
      <c r="Q39" s="1">
        <v>257.62032975585299</v>
      </c>
      <c r="R39" s="1">
        <v>515.20317348009826</v>
      </c>
      <c r="S39" s="1">
        <v>277.86110687255803</v>
      </c>
      <c r="T39" s="1">
        <v>385.85428024999999</v>
      </c>
    </row>
    <row r="40" spans="1:20" x14ac:dyDescent="0.25">
      <c r="A40" t="s">
        <v>8</v>
      </c>
      <c r="B40" s="1">
        <v>754.42716643165943</v>
      </c>
      <c r="C40" s="1">
        <v>796.93478832219171</v>
      </c>
      <c r="D40" s="1">
        <v>762.32266334973747</v>
      </c>
      <c r="E40" s="1">
        <v>819.72445093832471</v>
      </c>
      <c r="F40" s="1">
        <v>778.68819048</v>
      </c>
      <c r="G40" s="1">
        <v>755.75051772555094</v>
      </c>
      <c r="H40" s="1">
        <v>776.8632202148433</v>
      </c>
      <c r="I40" s="1">
        <v>804.91197450000004</v>
      </c>
      <c r="L40" t="s">
        <v>8</v>
      </c>
      <c r="M40" s="1">
        <v>778.99968533476158</v>
      </c>
      <c r="N40" s="2">
        <v>-38376648.406084999</v>
      </c>
      <c r="O40" s="1">
        <v>399.48464745935678</v>
      </c>
      <c r="P40" s="1">
        <v>478.28832309752102</v>
      </c>
      <c r="Q40" s="1">
        <v>425.6036815310365</v>
      </c>
      <c r="R40" s="1">
        <v>635.77820395623223</v>
      </c>
      <c r="S40" s="1">
        <v>407.61559295654251</v>
      </c>
      <c r="T40" s="1">
        <v>815.77860274999989</v>
      </c>
    </row>
    <row r="41" spans="1:20" x14ac:dyDescent="0.25">
      <c r="A41" t="s">
        <v>9</v>
      </c>
      <c r="B41" s="1">
        <v>271.3691364943744</v>
      </c>
      <c r="C41" s="1">
        <v>330.90784402655049</v>
      </c>
      <c r="D41" s="1">
        <v>305.93142185290492</v>
      </c>
      <c r="E41" s="1">
        <v>217.80618590505776</v>
      </c>
      <c r="F41" s="1">
        <v>333.66629049250002</v>
      </c>
      <c r="G41" s="1">
        <v>24.186499217235905</v>
      </c>
      <c r="H41" s="1">
        <v>332.69886016845703</v>
      </c>
      <c r="I41" s="1">
        <v>405.09922775000007</v>
      </c>
      <c r="L41" t="s">
        <v>9</v>
      </c>
      <c r="M41" s="1">
        <v>299.64687609737535</v>
      </c>
      <c r="N41" s="2">
        <v>911152298.95254898</v>
      </c>
      <c r="O41" s="1">
        <v>184.88549159077928</v>
      </c>
      <c r="P41" s="1">
        <v>131.39628976440599</v>
      </c>
      <c r="Q41" s="1">
        <v>167.98335177518351</v>
      </c>
      <c r="R41" s="1">
        <v>120.57503047613397</v>
      </c>
      <c r="S41" s="1">
        <v>129.75448608398449</v>
      </c>
      <c r="T41" s="1">
        <v>429.9243224999999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Søgaard</dc:creator>
  <cp:lastModifiedBy>Christine Søgaard</cp:lastModifiedBy>
  <dcterms:created xsi:type="dcterms:W3CDTF">2026-06-01T02:43:04Z</dcterms:created>
  <dcterms:modified xsi:type="dcterms:W3CDTF">2026-06-01T15:02:22Z</dcterms:modified>
</cp:coreProperties>
</file>