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9168efb92a48cee/Delt skrivebord/Data Science/Speciale/Energinet/Delte scripts/Speciale_Kode/Baseline/Seasonal/"/>
    </mc:Choice>
  </mc:AlternateContent>
  <xr:revisionPtr revIDLastSave="14" documentId="11_AD4D1D646341095ACB7000E1DD96DCAA683EDF1E" xr6:coauthVersionLast="47" xr6:coauthVersionMax="47" xr10:uidLastSave="{D731BFA0-5C4F-4157-9CD6-5CA7511832D1}"/>
  <bookViews>
    <workbookView xWindow="1215" yWindow="0" windowWidth="27585" windowHeight="15450" xr2:uid="{00000000-000D-0000-FFFF-FFFF00000000}"/>
  </bookViews>
  <sheets>
    <sheet name="DK1_weekly_results_seasonal" sheetId="2" r:id="rId1"/>
    <sheet name="Ark1" sheetId="1" r:id="rId2"/>
  </sheets>
  <definedNames>
    <definedName name="EksterneData_1" localSheetId="0" hidden="1">DK1_weekly_results_seasonal!$A$1:$G$55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6" i="2" l="1" a="1"/>
  <c r="E56" i="2" s="1"/>
  <c r="F55" i="2"/>
  <c r="G55" i="2"/>
  <c r="E5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44699E-21FD-4B4E-917A-489E10C24D91}" keepAlive="1" name="Forespørgsel - DK1_weekly_results_seasonal" description="Forbindelse til forespørgslen 'DK1_weekly_results_seasonal' i projektmappen." type="5" refreshedVersion="8" background="1" saveData="1">
    <dbPr connection="Provider=Microsoft.Mashup.OleDb.1;Data Source=$Workbook$;Location=DK1_weekly_results_seasonal;Extended Properties=&quot;&quot;" command="SELECT * FROM [DK1_weekly_results_seasonal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<sst xmlns="http://schemas.openxmlformats.org/spreadsheetml/2006/main" count="8" uniqueCount="8">
  <si>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fold</t>
  </si>
  <si>
    <t>week</t>
  </si>
  <si>
    <t>week_start</t>
  </si>
  <si>
    <t>week_end</t>
  </si>
  <si>
    <t>weekly_rmse</t>
  </si>
  <si>
    <t>weekly_mae</t>
  </si>
  <si>
    <t>weekly_smape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</si>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</sst>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4">
    <dxf>
      <numFmt numFmtId="27" formatCode="dd/mm/yyyy\ hh:mm"/>
    </dxf>
    <dxf>
      <numFmt numFmtId="19" formatCode="dd/mm/yyyy"/>
    </dxf>
    <dxf>
      <numFmt numFmtId="27" formatCode="dd/mm/yyyy\ hh:m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1" xr16:uid="{7903B28C-37AA-4509-B398-61E8567DBC6A}" autoFormatId="16" applyNumberFormats="0" applyBorderFormats="0" applyFontFormats="0" applyPatternFormats="0" applyAlignmentFormats="0" applyWidthHeightFormats="0">
  <queryTableRefresh nextId="8">
    <queryTableFields count="7">
      <queryTableField id="1" name="fold" tableColumnId="1"/>
      <queryTableField id="2" name="week" tableColumnId="2"/>
      <queryTableField id="3" name="week_start" tableColumnId="3"/>
      <queryTableField id="4" name="week_end" tableColumnId="4"/>
      <queryTableField id="5" name="weekly_rmse" tableColumnId="5"/>
      <queryTableField id="6" name="weekly_mae" tableColumnId="6"/>
      <queryTableField id="7" name="weekly_smap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561515-5A25-483C-AE7A-6B241D7A8B4A}" name="DK1_weekly_results_seasonal" displayName="DK1_weekly_results_seasonal" ref="A1:G56" tableType="queryTable" totalsRowCount="1">
  <autoFilter ref="A1:G55" xr:uid="{8B561515-5A25-483C-AE7A-6B241D7A8B4A}"/>
  <tableColumns count="7">
    <tableColumn id="1" xr3:uid="{EEBEEEBA-11F8-4967-842D-65F673E1A4B0}" uniqueName="1" name="fold" queryTableFieldId="1"/>
    <tableColumn id="2" xr3:uid="{350F8567-100F-4730-A4F5-7781BB7933A5}" uniqueName="2" name="week" queryTableFieldId="2"/>
    <tableColumn id="3" xr3:uid="{E3FAC53D-79F8-479E-B18C-B58D6E66BE0D}" uniqueName="3" name="week_start" queryTableFieldId="3" dataDxfId="3" totalsRowDxfId="1"/>
    <tableColumn id="4" xr3:uid="{4C2F6C70-8864-49C5-8BD6-395DC7ABEE7E}" uniqueName="4" name="week_end" queryTableFieldId="4" dataDxfId="2" totalsRowDxfId="0"/>
    <tableColumn id="5" xr3:uid="{578B0E25-8FEF-456F-ADA5-6F431DDBBA23}" uniqueName="5" name="weekly_rmse" totalsRowFunction="custom" queryTableFieldId="5">
      <totalsRowFormula array="1">SQRT(SUM(POWER(DK1_weekly_results_seasonal[weekly_rmse],2))/COUNTA(DK1_weekly_results_seasonal[weekly_rmse]))</totalsRowFormula>
    </tableColumn>
    <tableColumn id="6" xr3:uid="{511A52EB-581B-41CD-AD2D-B120589FB880}" uniqueName="6" name="weekly_mae" queryTableFieldId="6"/>
    <tableColumn id="7" xr3:uid="{76ADC215-365B-4CE0-AEF4-328144BC0416}" uniqueName="7" name="weekly_smap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E21B8-FB05-4643-BA72-4AC93BB61218}">
  <dimension ref="A1:G56"/>
  <sheetViews>
    <sheetView tabSelected="1" topLeftCell="A25" workbookViewId="0">
      <selection activeCell="K50" sqref="K50"/>
    </sheetView>
  </sheetViews>
  <sheetFormatPr defaultRowHeight="15" x14ac:dyDescent="0.25"/>
  <cols>
    <col min="1" max="1" width="6.85546875" bestFit="1" customWidth="1"/>
    <col min="2" max="2" width="8.140625" bestFit="1" customWidth="1"/>
    <col min="3" max="3" width="13.140625" bestFit="1" customWidth="1"/>
    <col min="4" max="4" width="15.5703125" bestFit="1" customWidth="1"/>
    <col min="5" max="5" width="15.140625" bestFit="1" customWidth="1"/>
    <col min="6" max="6" width="14.5703125" bestFit="1" customWidth="1"/>
    <col min="7" max="7" width="16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1</v>
      </c>
      <c r="C2" s="1">
        <v>45658</v>
      </c>
      <c r="D2" s="2">
        <v>45664.958333333336</v>
      </c>
      <c r="E2">
        <v>543.45604372750256</v>
      </c>
      <c r="F2">
        <v>430.00107071428579</v>
      </c>
      <c r="G2">
        <v>82.725205076218955</v>
      </c>
    </row>
    <row r="3" spans="1:7" x14ac:dyDescent="0.25">
      <c r="A3">
        <v>1</v>
      </c>
      <c r="B3">
        <v>2</v>
      </c>
      <c r="C3" s="1">
        <v>45665</v>
      </c>
      <c r="D3" s="2">
        <v>45671.958333333336</v>
      </c>
      <c r="E3">
        <v>341.55452177267398</v>
      </c>
      <c r="F3">
        <v>270.54702435119049</v>
      </c>
      <c r="G3">
        <v>48.226936971287458</v>
      </c>
    </row>
    <row r="4" spans="1:7" x14ac:dyDescent="0.25">
      <c r="A4">
        <v>1</v>
      </c>
      <c r="B4">
        <v>3</v>
      </c>
      <c r="C4" s="1">
        <v>45672</v>
      </c>
      <c r="D4" s="2">
        <v>45678.958333333336</v>
      </c>
      <c r="E4">
        <v>888.13469201057455</v>
      </c>
      <c r="F4">
        <v>608.51394395039677</v>
      </c>
      <c r="G4">
        <v>66.592991492058701</v>
      </c>
    </row>
    <row r="5" spans="1:7" x14ac:dyDescent="0.25">
      <c r="A5">
        <v>1</v>
      </c>
      <c r="B5">
        <v>4</v>
      </c>
      <c r="C5" s="1">
        <v>45679</v>
      </c>
      <c r="D5" s="2">
        <v>45685.958333333336</v>
      </c>
      <c r="E5">
        <v>389.90187083092411</v>
      </c>
      <c r="F5">
        <v>305.14775894047619</v>
      </c>
      <c r="G5">
        <v>51.443381286246989</v>
      </c>
    </row>
    <row r="6" spans="1:7" x14ac:dyDescent="0.25">
      <c r="A6">
        <v>1</v>
      </c>
      <c r="B6">
        <v>5</v>
      </c>
      <c r="C6" s="1">
        <v>45686</v>
      </c>
      <c r="D6" s="2">
        <v>45692.958333333336</v>
      </c>
      <c r="E6">
        <v>306.78234999039199</v>
      </c>
      <c r="F6">
        <v>259.0169430515873</v>
      </c>
      <c r="G6">
        <v>30.150992884921447</v>
      </c>
    </row>
    <row r="7" spans="1:7" x14ac:dyDescent="0.25">
      <c r="A7">
        <v>1</v>
      </c>
      <c r="B7">
        <v>6</v>
      </c>
      <c r="C7" s="1">
        <v>45693</v>
      </c>
      <c r="D7" s="2">
        <v>45699.958333333336</v>
      </c>
      <c r="E7">
        <v>372.46642447580314</v>
      </c>
      <c r="F7">
        <v>292.51517214880954</v>
      </c>
      <c r="G7">
        <v>35.310682445382078</v>
      </c>
    </row>
    <row r="8" spans="1:7" x14ac:dyDescent="0.25">
      <c r="A8">
        <v>1</v>
      </c>
      <c r="B8">
        <v>7</v>
      </c>
      <c r="C8" s="1">
        <v>45700</v>
      </c>
      <c r="D8" s="2">
        <v>45706.958333333336</v>
      </c>
      <c r="E8">
        <v>409.6902705859992</v>
      </c>
      <c r="F8">
        <v>327.61149633333332</v>
      </c>
      <c r="G8">
        <v>35.227171947463084</v>
      </c>
    </row>
    <row r="9" spans="1:7" x14ac:dyDescent="0.25">
      <c r="A9">
        <v>1</v>
      </c>
      <c r="B9">
        <v>8</v>
      </c>
      <c r="C9" s="1">
        <v>45707</v>
      </c>
      <c r="D9" s="2">
        <v>45713.958333333336</v>
      </c>
      <c r="E9">
        <v>456.01860769033226</v>
      </c>
      <c r="F9">
        <v>401.60841629365081</v>
      </c>
      <c r="G9">
        <v>57.247757126522224</v>
      </c>
    </row>
    <row r="10" spans="1:7" x14ac:dyDescent="0.25">
      <c r="A10">
        <v>1</v>
      </c>
      <c r="B10">
        <v>9</v>
      </c>
      <c r="C10" s="1">
        <v>45714</v>
      </c>
      <c r="D10" s="2">
        <v>45720.958333333336</v>
      </c>
      <c r="E10">
        <v>307.05884744349214</v>
      </c>
      <c r="F10">
        <v>238.17627109126983</v>
      </c>
      <c r="G10">
        <v>40.900098481957883</v>
      </c>
    </row>
    <row r="11" spans="1:7" x14ac:dyDescent="0.25">
      <c r="A11">
        <v>1</v>
      </c>
      <c r="B11">
        <v>10</v>
      </c>
      <c r="C11" s="1">
        <v>45721</v>
      </c>
      <c r="D11" s="2">
        <v>45727.958333333336</v>
      </c>
      <c r="E11">
        <v>402.88351908311961</v>
      </c>
      <c r="F11">
        <v>301.66576373809522</v>
      </c>
      <c r="G11">
        <v>57.017287900297198</v>
      </c>
    </row>
    <row r="12" spans="1:7" x14ac:dyDescent="0.25">
      <c r="A12">
        <v>1</v>
      </c>
      <c r="B12">
        <v>11</v>
      </c>
      <c r="C12" s="1">
        <v>45728</v>
      </c>
      <c r="D12" s="2">
        <v>45734.958333333336</v>
      </c>
      <c r="E12">
        <v>226.98648212967382</v>
      </c>
      <c r="F12">
        <v>185.75865722420636</v>
      </c>
      <c r="G12">
        <v>32.769571749760438</v>
      </c>
    </row>
    <row r="13" spans="1:7" x14ac:dyDescent="0.25">
      <c r="A13">
        <v>1</v>
      </c>
      <c r="B13">
        <v>12</v>
      </c>
      <c r="C13" s="1">
        <v>45735</v>
      </c>
      <c r="D13" s="2">
        <v>45741.958333333336</v>
      </c>
      <c r="E13">
        <v>406.01941628100082</v>
      </c>
      <c r="F13">
        <v>337.94175716468254</v>
      </c>
      <c r="G13">
        <v>72.460207662993909</v>
      </c>
    </row>
    <row r="14" spans="1:7" x14ac:dyDescent="0.25">
      <c r="A14">
        <v>1</v>
      </c>
      <c r="B14">
        <v>13</v>
      </c>
      <c r="C14" s="1">
        <v>45742</v>
      </c>
      <c r="D14" s="2">
        <v>45748.958333333336</v>
      </c>
      <c r="E14">
        <v>236.23231861313783</v>
      </c>
      <c r="F14">
        <v>184.47149241071429</v>
      </c>
      <c r="G14">
        <v>50.849132040181232</v>
      </c>
    </row>
    <row r="15" spans="1:7" x14ac:dyDescent="0.25">
      <c r="A15">
        <v>1</v>
      </c>
      <c r="B15">
        <v>14</v>
      </c>
      <c r="C15" s="1">
        <v>45749</v>
      </c>
      <c r="D15" s="2">
        <v>45755.958333333336</v>
      </c>
      <c r="E15">
        <v>250.2504438910932</v>
      </c>
      <c r="F15">
        <v>196.36642434920637</v>
      </c>
      <c r="G15">
        <v>59.940802218607828</v>
      </c>
    </row>
    <row r="16" spans="1:7" x14ac:dyDescent="0.25">
      <c r="A16">
        <v>1</v>
      </c>
      <c r="B16">
        <v>15</v>
      </c>
      <c r="C16" s="1">
        <v>45756</v>
      </c>
      <c r="D16" s="2">
        <v>45762.958333333336</v>
      </c>
      <c r="E16">
        <v>323.25594134500432</v>
      </c>
      <c r="F16">
        <v>219.31864561309521</v>
      </c>
      <c r="G16">
        <v>64.720937366776838</v>
      </c>
    </row>
    <row r="17" spans="1:7" x14ac:dyDescent="0.25">
      <c r="A17">
        <v>1</v>
      </c>
      <c r="B17">
        <v>16</v>
      </c>
      <c r="C17" s="1">
        <v>45763</v>
      </c>
      <c r="D17" s="2">
        <v>45769.958333333336</v>
      </c>
      <c r="E17">
        <v>253.32340759430593</v>
      </c>
      <c r="F17">
        <v>190.74675717460318</v>
      </c>
      <c r="G17">
        <v>53.666120306058843</v>
      </c>
    </row>
    <row r="18" spans="1:7" x14ac:dyDescent="0.25">
      <c r="A18">
        <v>1</v>
      </c>
      <c r="B18">
        <v>17</v>
      </c>
      <c r="C18" s="1">
        <v>45770</v>
      </c>
      <c r="D18" s="2">
        <v>45776.958333333336</v>
      </c>
      <c r="E18">
        <v>196.61000673084499</v>
      </c>
      <c r="F18">
        <v>143.73172704960319</v>
      </c>
      <c r="G18">
        <v>48.367800167984335</v>
      </c>
    </row>
    <row r="19" spans="1:7" x14ac:dyDescent="0.25">
      <c r="A19">
        <v>1</v>
      </c>
      <c r="B19">
        <v>18</v>
      </c>
      <c r="C19" s="1">
        <v>45777</v>
      </c>
      <c r="D19" s="2">
        <v>45783.958333333336</v>
      </c>
      <c r="E19">
        <v>236.99216035329997</v>
      </c>
      <c r="F19">
        <v>172.64264171825397</v>
      </c>
      <c r="G19">
        <v>61.813100771092145</v>
      </c>
    </row>
    <row r="20" spans="1:7" x14ac:dyDescent="0.25">
      <c r="A20">
        <v>1</v>
      </c>
      <c r="B20">
        <v>19</v>
      </c>
      <c r="C20" s="1">
        <v>45784</v>
      </c>
      <c r="D20" s="2">
        <v>45790.958333333336</v>
      </c>
      <c r="E20">
        <v>160.01311998975083</v>
      </c>
      <c r="F20">
        <v>125.0683094345238</v>
      </c>
      <c r="G20">
        <v>48.937136748640725</v>
      </c>
    </row>
    <row r="21" spans="1:7" x14ac:dyDescent="0.25">
      <c r="A21">
        <v>1</v>
      </c>
      <c r="B21">
        <v>20</v>
      </c>
      <c r="C21" s="1">
        <v>45791</v>
      </c>
      <c r="D21" s="2">
        <v>45797.958333333336</v>
      </c>
      <c r="E21">
        <v>181.88433932414429</v>
      </c>
      <c r="F21">
        <v>125.1445525357143</v>
      </c>
      <c r="G21">
        <v>53.782155364978891</v>
      </c>
    </row>
    <row r="22" spans="1:7" x14ac:dyDescent="0.25">
      <c r="A22">
        <v>1</v>
      </c>
      <c r="B22">
        <v>21</v>
      </c>
      <c r="C22" s="1">
        <v>45798</v>
      </c>
      <c r="D22" s="2">
        <v>45804.958333333336</v>
      </c>
      <c r="E22">
        <v>335.3185781622704</v>
      </c>
      <c r="F22">
        <v>254.52938135912694</v>
      </c>
      <c r="G22">
        <v>100.94894951363882</v>
      </c>
    </row>
    <row r="23" spans="1:7" x14ac:dyDescent="0.25">
      <c r="A23">
        <v>1</v>
      </c>
      <c r="B23">
        <v>22</v>
      </c>
      <c r="C23" s="1">
        <v>45805</v>
      </c>
      <c r="D23" s="2">
        <v>45811.958333333336</v>
      </c>
      <c r="E23">
        <v>229.92898213766509</v>
      </c>
      <c r="F23">
        <v>166.47002234325396</v>
      </c>
      <c r="G23">
        <v>69.890660836244393</v>
      </c>
    </row>
    <row r="24" spans="1:7" x14ac:dyDescent="0.25">
      <c r="A24">
        <v>1</v>
      </c>
      <c r="B24">
        <v>23</v>
      </c>
      <c r="C24" s="1">
        <v>45812</v>
      </c>
      <c r="D24" s="2">
        <v>45818.958333333336</v>
      </c>
      <c r="E24">
        <v>196.54214438411429</v>
      </c>
      <c r="F24">
        <v>146.42815354960317</v>
      </c>
      <c r="G24">
        <v>74.28729696019478</v>
      </c>
    </row>
    <row r="25" spans="1:7" x14ac:dyDescent="0.25">
      <c r="A25">
        <v>1</v>
      </c>
      <c r="B25">
        <v>24</v>
      </c>
      <c r="C25" s="1">
        <v>45819</v>
      </c>
      <c r="D25" s="2">
        <v>45825.958333333336</v>
      </c>
      <c r="E25">
        <v>235.11551715903508</v>
      </c>
      <c r="F25">
        <v>183.62988049801586</v>
      </c>
      <c r="G25">
        <v>77.99319528870511</v>
      </c>
    </row>
    <row r="26" spans="1:7" x14ac:dyDescent="0.25">
      <c r="A26">
        <v>1</v>
      </c>
      <c r="B26">
        <v>25</v>
      </c>
      <c r="C26" s="1">
        <v>45826</v>
      </c>
      <c r="D26" s="2">
        <v>45832.958333333336</v>
      </c>
      <c r="E26">
        <v>276.22424106295546</v>
      </c>
      <c r="F26">
        <v>210.44348098214289</v>
      </c>
      <c r="G26">
        <v>87.991642968011163</v>
      </c>
    </row>
    <row r="27" spans="1:7" x14ac:dyDescent="0.25">
      <c r="A27">
        <v>1</v>
      </c>
      <c r="B27">
        <v>26</v>
      </c>
      <c r="C27" s="1">
        <v>45833</v>
      </c>
      <c r="D27" s="2">
        <v>45839.958333333336</v>
      </c>
      <c r="E27">
        <v>436.54546662357473</v>
      </c>
      <c r="F27">
        <v>284.26740418650792</v>
      </c>
      <c r="G27">
        <v>81.895283672759078</v>
      </c>
    </row>
    <row r="28" spans="1:7" x14ac:dyDescent="0.25">
      <c r="A28">
        <v>1</v>
      </c>
      <c r="B28">
        <v>27</v>
      </c>
      <c r="C28" s="1">
        <v>45840</v>
      </c>
      <c r="D28" s="2">
        <v>45846.958333333336</v>
      </c>
      <c r="E28">
        <v>284.96145393995687</v>
      </c>
      <c r="F28">
        <v>225.54498105555552</v>
      </c>
      <c r="G28">
        <v>79.478997839214287</v>
      </c>
    </row>
    <row r="29" spans="1:7" x14ac:dyDescent="0.25">
      <c r="A29">
        <v>1</v>
      </c>
      <c r="B29">
        <v>28</v>
      </c>
      <c r="C29" s="1">
        <v>45847</v>
      </c>
      <c r="D29" s="2">
        <v>45853.958333333336</v>
      </c>
      <c r="E29">
        <v>226.38094666609803</v>
      </c>
      <c r="F29">
        <v>184.76201676587303</v>
      </c>
      <c r="G29">
        <v>54.618999762001117</v>
      </c>
    </row>
    <row r="30" spans="1:7" x14ac:dyDescent="0.25">
      <c r="A30">
        <v>1</v>
      </c>
      <c r="B30">
        <v>29</v>
      </c>
      <c r="C30" s="1">
        <v>45854</v>
      </c>
      <c r="D30" s="2">
        <v>45860.958333333336</v>
      </c>
      <c r="E30">
        <v>233.48219776577633</v>
      </c>
      <c r="F30">
        <v>177.44924032539683</v>
      </c>
      <c r="G30">
        <v>42.707109988598461</v>
      </c>
    </row>
    <row r="31" spans="1:7" x14ac:dyDescent="0.25">
      <c r="A31">
        <v>1</v>
      </c>
      <c r="B31">
        <v>30</v>
      </c>
      <c r="C31" s="1">
        <v>45861</v>
      </c>
      <c r="D31" s="2">
        <v>45867.958333333336</v>
      </c>
      <c r="E31">
        <v>228.95774694088058</v>
      </c>
      <c r="F31">
        <v>173.61791922619045</v>
      </c>
      <c r="G31">
        <v>45.049755326182513</v>
      </c>
    </row>
    <row r="32" spans="1:7" x14ac:dyDescent="0.25">
      <c r="A32">
        <v>1</v>
      </c>
      <c r="B32">
        <v>31</v>
      </c>
      <c r="C32" s="1">
        <v>45868</v>
      </c>
      <c r="D32" s="2">
        <v>45874.958333333336</v>
      </c>
      <c r="E32">
        <v>310.66597630088711</v>
      </c>
      <c r="F32">
        <v>207.78100394444448</v>
      </c>
      <c r="G32">
        <v>69.372890221621574</v>
      </c>
    </row>
    <row r="33" spans="1:7" x14ac:dyDescent="0.25">
      <c r="A33">
        <v>1</v>
      </c>
      <c r="B33">
        <v>32</v>
      </c>
      <c r="C33" s="1">
        <v>45875</v>
      </c>
      <c r="D33" s="2">
        <v>45881.958333333336</v>
      </c>
      <c r="E33">
        <v>303.69802312260236</v>
      </c>
      <c r="F33">
        <v>229.19234045238096</v>
      </c>
      <c r="G33">
        <v>78.373979202303175</v>
      </c>
    </row>
    <row r="34" spans="1:7" x14ac:dyDescent="0.25">
      <c r="A34">
        <v>1</v>
      </c>
      <c r="B34">
        <v>33</v>
      </c>
      <c r="C34" s="1">
        <v>45882</v>
      </c>
      <c r="D34" s="2">
        <v>45888.958333333336</v>
      </c>
      <c r="E34">
        <v>249.27632877221797</v>
      </c>
      <c r="F34">
        <v>177.36343382539684</v>
      </c>
      <c r="G34">
        <v>51.332319844525152</v>
      </c>
    </row>
    <row r="35" spans="1:7" x14ac:dyDescent="0.25">
      <c r="A35">
        <v>1</v>
      </c>
      <c r="B35">
        <v>34</v>
      </c>
      <c r="C35" s="1">
        <v>45889</v>
      </c>
      <c r="D35" s="2">
        <v>45895.958333333336</v>
      </c>
      <c r="E35">
        <v>208.83310531808945</v>
      </c>
      <c r="F35">
        <v>154.34686991269842</v>
      </c>
      <c r="G35">
        <v>46.11640786397119</v>
      </c>
    </row>
    <row r="36" spans="1:7" x14ac:dyDescent="0.25">
      <c r="A36">
        <v>1</v>
      </c>
      <c r="B36">
        <v>35</v>
      </c>
      <c r="C36" s="1">
        <v>45896</v>
      </c>
      <c r="D36" s="2">
        <v>45902.958333333336</v>
      </c>
      <c r="E36">
        <v>255.33624427511219</v>
      </c>
      <c r="F36">
        <v>181.04878359325397</v>
      </c>
      <c r="G36">
        <v>46.038307002769379</v>
      </c>
    </row>
    <row r="37" spans="1:7" x14ac:dyDescent="0.25">
      <c r="A37">
        <v>1</v>
      </c>
      <c r="B37">
        <v>36</v>
      </c>
      <c r="C37" s="1">
        <v>45903</v>
      </c>
      <c r="D37" s="2">
        <v>45909.958333333336</v>
      </c>
      <c r="E37">
        <v>338.66135934920811</v>
      </c>
      <c r="F37">
        <v>228.79124704166665</v>
      </c>
      <c r="G37">
        <v>53.730944793618526</v>
      </c>
    </row>
    <row r="38" spans="1:7" x14ac:dyDescent="0.25">
      <c r="A38">
        <v>1</v>
      </c>
      <c r="B38">
        <v>37</v>
      </c>
      <c r="C38" s="1">
        <v>45910</v>
      </c>
      <c r="D38" s="2">
        <v>45916.958333333336</v>
      </c>
      <c r="E38">
        <v>559.48912492359102</v>
      </c>
      <c r="F38">
        <v>425.63120039880948</v>
      </c>
      <c r="G38">
        <v>108.26586436486885</v>
      </c>
    </row>
    <row r="39" spans="1:7" x14ac:dyDescent="0.25">
      <c r="A39">
        <v>1</v>
      </c>
      <c r="B39">
        <v>38</v>
      </c>
      <c r="C39" s="1">
        <v>45917</v>
      </c>
      <c r="D39" s="2">
        <v>45923.958333333336</v>
      </c>
      <c r="E39">
        <v>356.30674024746094</v>
      </c>
      <c r="F39">
        <v>282.95129677976195</v>
      </c>
      <c r="G39">
        <v>92.686759142575724</v>
      </c>
    </row>
    <row r="40" spans="1:7" x14ac:dyDescent="0.25">
      <c r="A40">
        <v>1</v>
      </c>
      <c r="B40">
        <v>39</v>
      </c>
      <c r="C40" s="1">
        <v>45924</v>
      </c>
      <c r="D40" s="2">
        <v>45930.958333333336</v>
      </c>
      <c r="E40">
        <v>380.32927728834244</v>
      </c>
      <c r="F40">
        <v>291.89189689632934</v>
      </c>
      <c r="G40">
        <v>63.771630714888694</v>
      </c>
    </row>
    <row r="41" spans="1:7" x14ac:dyDescent="0.25">
      <c r="A41">
        <v>1</v>
      </c>
      <c r="B41">
        <v>40</v>
      </c>
      <c r="C41" s="1">
        <v>45931</v>
      </c>
      <c r="D41" s="2">
        <v>45937.958333333336</v>
      </c>
      <c r="E41">
        <v>397.50454182988523</v>
      </c>
      <c r="F41">
        <v>332.8740962266865</v>
      </c>
      <c r="G41">
        <v>98.395863365630547</v>
      </c>
    </row>
    <row r="42" spans="1:7" x14ac:dyDescent="0.25">
      <c r="A42">
        <v>1</v>
      </c>
      <c r="B42">
        <v>41</v>
      </c>
      <c r="C42" s="1">
        <v>45938</v>
      </c>
      <c r="D42" s="2">
        <v>45944.958333333336</v>
      </c>
      <c r="E42">
        <v>341.42245334742626</v>
      </c>
      <c r="F42">
        <v>277.75280744791667</v>
      </c>
      <c r="G42">
        <v>52.596814949891368</v>
      </c>
    </row>
    <row r="43" spans="1:7" x14ac:dyDescent="0.25">
      <c r="A43">
        <v>1</v>
      </c>
      <c r="B43">
        <v>42</v>
      </c>
      <c r="C43" s="1">
        <v>45945</v>
      </c>
      <c r="D43" s="2">
        <v>45951.958333333336</v>
      </c>
      <c r="E43">
        <v>410.32797267492998</v>
      </c>
      <c r="F43">
        <v>309.70981501785707</v>
      </c>
      <c r="G43">
        <v>47.506889573983322</v>
      </c>
    </row>
    <row r="44" spans="1:7" x14ac:dyDescent="0.25">
      <c r="A44">
        <v>1</v>
      </c>
      <c r="B44">
        <v>43</v>
      </c>
      <c r="C44" s="1">
        <v>45952</v>
      </c>
      <c r="D44" s="2">
        <v>45958.958333333336</v>
      </c>
      <c r="E44">
        <v>307.56666091497152</v>
      </c>
      <c r="F44">
        <v>256.60380050694448</v>
      </c>
      <c r="G44">
        <v>75.209324339060316</v>
      </c>
    </row>
    <row r="45" spans="1:7" x14ac:dyDescent="0.25">
      <c r="A45">
        <v>1</v>
      </c>
      <c r="B45">
        <v>44</v>
      </c>
      <c r="C45" s="1">
        <v>45959</v>
      </c>
      <c r="D45" s="2">
        <v>45965.958333333336</v>
      </c>
      <c r="E45">
        <v>256.25817281006329</v>
      </c>
      <c r="F45">
        <v>205.07286953124998</v>
      </c>
      <c r="G45">
        <v>40.301199197083029</v>
      </c>
    </row>
    <row r="46" spans="1:7" x14ac:dyDescent="0.25">
      <c r="A46">
        <v>1</v>
      </c>
      <c r="B46">
        <v>45</v>
      </c>
      <c r="C46" s="1">
        <v>45966</v>
      </c>
      <c r="D46" s="2">
        <v>45972.958333333336</v>
      </c>
      <c r="E46">
        <v>306.95420149736287</v>
      </c>
      <c r="F46">
        <v>277.13676526438491</v>
      </c>
      <c r="G46">
        <v>46.261893954989311</v>
      </c>
    </row>
    <row r="47" spans="1:7" x14ac:dyDescent="0.25">
      <c r="A47">
        <v>1</v>
      </c>
      <c r="B47">
        <v>46</v>
      </c>
      <c r="C47" s="1">
        <v>45973</v>
      </c>
      <c r="D47" s="2">
        <v>45979.958333333336</v>
      </c>
      <c r="E47">
        <v>244.4551499096352</v>
      </c>
      <c r="F47">
        <v>204.7408127167659</v>
      </c>
      <c r="G47">
        <v>38.065613957545672</v>
      </c>
    </row>
    <row r="48" spans="1:7" x14ac:dyDescent="0.25">
      <c r="A48">
        <v>1</v>
      </c>
      <c r="B48">
        <v>47</v>
      </c>
      <c r="C48" s="1">
        <v>45980</v>
      </c>
      <c r="D48" s="2">
        <v>45986.958333333336</v>
      </c>
      <c r="E48">
        <v>528.32138412079644</v>
      </c>
      <c r="F48">
        <v>367.95533884920633</v>
      </c>
      <c r="G48">
        <v>41.683069099657679</v>
      </c>
    </row>
    <row r="49" spans="1:7" x14ac:dyDescent="0.25">
      <c r="A49">
        <v>1</v>
      </c>
      <c r="B49">
        <v>48</v>
      </c>
      <c r="C49" s="1">
        <v>45987</v>
      </c>
      <c r="D49" s="2">
        <v>45993.958333333336</v>
      </c>
      <c r="E49">
        <v>409.07235189790771</v>
      </c>
      <c r="F49">
        <v>319.71890856001983</v>
      </c>
      <c r="G49">
        <v>43.213637800964513</v>
      </c>
    </row>
    <row r="50" spans="1:7" x14ac:dyDescent="0.25">
      <c r="A50">
        <v>1</v>
      </c>
      <c r="B50">
        <v>49</v>
      </c>
      <c r="C50" s="1">
        <v>45994</v>
      </c>
      <c r="D50" s="2">
        <v>46000.958333333336</v>
      </c>
      <c r="E50">
        <v>295.36011393419597</v>
      </c>
      <c r="F50">
        <v>230.98954783382936</v>
      </c>
      <c r="G50">
        <v>31.634446697730645</v>
      </c>
    </row>
    <row r="51" spans="1:7" x14ac:dyDescent="0.25">
      <c r="A51">
        <v>1</v>
      </c>
      <c r="B51">
        <v>50</v>
      </c>
      <c r="C51" s="1">
        <v>46001</v>
      </c>
      <c r="D51" s="2">
        <v>46007.958333333336</v>
      </c>
      <c r="E51">
        <v>337.86251913653416</v>
      </c>
      <c r="F51">
        <v>246.02147798214287</v>
      </c>
      <c r="G51">
        <v>39.614966535178311</v>
      </c>
    </row>
    <row r="52" spans="1:7" x14ac:dyDescent="0.25">
      <c r="A52">
        <v>1</v>
      </c>
      <c r="B52">
        <v>51</v>
      </c>
      <c r="C52" s="1">
        <v>46008</v>
      </c>
      <c r="D52" s="2">
        <v>46014.958333333336</v>
      </c>
      <c r="E52">
        <v>234.75310345590449</v>
      </c>
      <c r="F52">
        <v>196.58281305753968</v>
      </c>
      <c r="G52">
        <v>35.816367543215854</v>
      </c>
    </row>
    <row r="53" spans="1:7" x14ac:dyDescent="0.25">
      <c r="A53">
        <v>1</v>
      </c>
      <c r="B53">
        <v>52</v>
      </c>
      <c r="C53" s="1">
        <v>46015</v>
      </c>
      <c r="D53" s="2">
        <v>46021.958333333336</v>
      </c>
      <c r="E53">
        <v>152.66116605695655</v>
      </c>
      <c r="F53">
        <v>116.94850162946429</v>
      </c>
      <c r="G53">
        <v>19.403500253058333</v>
      </c>
    </row>
    <row r="54" spans="1:7" x14ac:dyDescent="0.25">
      <c r="A54">
        <v>1</v>
      </c>
      <c r="B54">
        <v>53</v>
      </c>
      <c r="C54" s="1">
        <v>46022</v>
      </c>
      <c r="D54" s="2">
        <v>46022.958333333336</v>
      </c>
      <c r="E54">
        <v>97.893627532982606</v>
      </c>
      <c r="F54">
        <v>73.335880569444456</v>
      </c>
      <c r="G54">
        <v>12.858049793473702</v>
      </c>
    </row>
    <row r="55" spans="1:7" x14ac:dyDescent="0.25">
      <c r="A55" t="s">
        <v>7</v>
      </c>
      <c r="C55" s="1"/>
      <c r="D55" s="2"/>
      <c r="E55">
        <f>AVERAGE(E2:E54)</f>
        <v>318.03738976268801</v>
      </c>
      <c r="F55" s="3">
        <f t="shared" ref="F55:G55" si="0">AVERAGE(F2:F54)</f>
        <v>243.72790214372753</v>
      </c>
      <c r="G55" s="3">
        <f t="shared" si="0"/>
        <v>56.589850988256323</v>
      </c>
    </row>
    <row r="56" spans="1:7" x14ac:dyDescent="0.25">
      <c r="C56" s="1"/>
      <c r="D56" s="2"/>
      <c r="E56" cm="1">
        <f t="array" ref="E56">SQRT(SUM(POWER(DK1_weekly_results_seasonal[weekly_rmse],2))/COUNTA(DK1_weekly_results_seasonal[weekly_rmse]))</f>
        <v>341.39464918344675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B3EEAB-BA9C-4E5F-86A9-3BC25F3A9A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DK1_weekly_results_seasonal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Nikolaj Andersen</dc:creator>
  <cp:lastModifiedBy>Nikolaj Andersen</cp:lastModifiedBy>
  <dcterms:created xsi:type="dcterms:W3CDTF">2015-06-05T18:19:34Z</dcterms:created>
  <dcterms:modified xsi:type="dcterms:W3CDTF">2026-05-28T08:51:39Z</dcterms:modified>
</cp:coreProperties>
</file>