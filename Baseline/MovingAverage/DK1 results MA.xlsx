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Baseline/MovingAverage/"/>
    </mc:Choice>
  </mc:AlternateContent>
  <xr:revisionPtr revIDLastSave="22" documentId="11_AD4D1D646341095ACB7000E1DD96DCAA683EDF1E" xr6:coauthVersionLast="47" xr6:coauthVersionMax="47" xr10:uidLastSave="{2A1CF60C-6A61-40F5-A026-245A1B61D9BF}"/>
  <bookViews>
    <workbookView xWindow="1065" yWindow="285" windowWidth="27585" windowHeight="15450" xr2:uid="{00000000-000D-0000-FFFF-FFFF00000000}"/>
  </bookViews>
  <sheets>
    <sheet name="DK1_weekly_results_MA" sheetId="2" r:id="rId1"/>
    <sheet name="Ark1" sheetId="1" r:id="rId2"/>
  </sheets>
  <definedNames>
    <definedName name="EksterneData_1" localSheetId="0" hidden="1">DK1_weekly_results_MA!$A$1:$G$57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2" l="1"/>
  <c r="G58" i="2"/>
  <c r="E58" i="2"/>
  <c r="E55" i="2" a="1"/>
  <c r="E55" i="2" s="1"/>
  <c r="G55" i="2"/>
  <c r="F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A7251-C582-4B57-9CC6-4928E02A866A}" keepAlive="1" name="Forespørgsel - DK1_weekly_results_MA" description="Forbindelse til forespørgslen 'DK1_weekly_results_MA' i projektmappen." type="5" refreshedVersion="8" background="1" saveData="1">
    <dbPr connection="Provider=Microsoft.Mashup.OleDb.1;Data Source=$Workbook$;Location=DK1_weekly_results_MA;Extended Properties=&quot;&quot;" command="SELECT * FROM [DK1_weekly_results_M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<sst xmlns="http://schemas.openxmlformats.org/spreadsheetml/2006/main" count="8" uniqueCount="8">
  <si>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fold</t>
  </si>
  <si>
    <t>week</t>
  </si>
  <si>
    <t>week_start</t>
  </si>
  <si>
    <t>week_end</t>
  </si>
  <si>
    <t>weekly_rmse</t>
  </si>
  <si>
    <t>weekly_mae</t>
  </si>
  <si>
    <t>weekly_smape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</si>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</sst>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numFmt numFmtId="27" formatCode="dd/mm/yyyy\ hh:mm"/>
    </dxf>
    <dxf>
      <numFmt numFmtId="19" formatCode="dd/mm/yyyy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FD0D6568-7681-4E17-9614-1DA483FF0E81}" autoFormatId="16" applyNumberFormats="0" applyBorderFormats="0" applyFontFormats="0" applyPatternFormats="0" applyAlignmentFormats="0" applyWidthHeightFormats="0">
  <queryTableRefresh nextId="8">
    <queryTableFields count="7">
      <queryTableField id="1" name="fold" tableColumnId="1"/>
      <queryTableField id="2" name="week" tableColumnId="2"/>
      <queryTableField id="3" name="week_start" tableColumnId="3"/>
      <queryTableField id="4" name="week_end" tableColumnId="4"/>
      <queryTableField id="5" name="weekly_rmse" tableColumnId="5"/>
      <queryTableField id="6" name="weekly_mae" tableColumnId="6"/>
      <queryTableField id="7" name="weekly_smap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45101-9609-4EDE-9E13-D6AF7021DCC0}" name="DK1_weekly_results_MA" displayName="DK1_weekly_results_MA" ref="A1:G58" tableType="queryTable" totalsRowCount="1">
  <autoFilter ref="A1:G57" xr:uid="{64545101-9609-4EDE-9E13-D6AF7021DCC0}"/>
  <tableColumns count="7">
    <tableColumn id="1" xr3:uid="{6161D77B-E8FD-48B6-AE86-E4D2094CC447}" uniqueName="1" name="fold" queryTableFieldId="1"/>
    <tableColumn id="2" xr3:uid="{7041CC01-97F3-4222-9833-D1462B314260}" uniqueName="2" name="week" queryTableFieldId="2"/>
    <tableColumn id="3" xr3:uid="{A5BD9FD9-BB2B-4EEB-AD84-24C111B0E6C7}" uniqueName="3" name="week_start" queryTableFieldId="3" dataDxfId="3" totalsRowDxfId="1"/>
    <tableColumn id="4" xr3:uid="{93583B9C-1BE3-4BB4-8A45-2B37F5FCEC74}" uniqueName="4" name="week_end" queryTableFieldId="4" dataDxfId="2" totalsRowDxfId="0"/>
    <tableColumn id="5" xr3:uid="{3A4F1AD1-5D98-4428-A0D3-373C4A564219}" uniqueName="5" name="weekly_rmse" totalsRowFunction="custom" queryTableFieldId="5">
      <totalsRowFormula>AVERAGE(E55:E57)</totalsRowFormula>
    </tableColumn>
    <tableColumn id="6" xr3:uid="{4D8C4C01-1CFE-47B5-9A0A-FC2803A42FDB}" uniqueName="6" name="weekly_mae" totalsRowFunction="custom" queryTableFieldId="6">
      <totalsRowFormula>AVERAGE(F55:F57)</totalsRowFormula>
    </tableColumn>
    <tableColumn id="7" xr3:uid="{A698CD6E-084A-4AB5-A5F8-0A0B83228B36}" uniqueName="7" name="weekly_smape" totalsRowFunction="custom" queryTableFieldId="7">
      <totalsRowFormula>AVERAGE(G55:G57)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B2EA-0556-4CDE-9CCB-BE22A303407D}">
  <dimension ref="A1:G58"/>
  <sheetViews>
    <sheetView tabSelected="1" topLeftCell="A34" workbookViewId="0">
      <selection activeCell="K56" sqref="K56"/>
    </sheetView>
  </sheetViews>
  <sheetFormatPr defaultRowHeight="15" x14ac:dyDescent="0.25"/>
  <cols>
    <col min="1" max="1" width="6.85546875" bestFit="1" customWidth="1"/>
    <col min="2" max="2" width="8.140625" bestFit="1" customWidth="1"/>
    <col min="3" max="3" width="13.140625" bestFit="1" customWidth="1"/>
    <col min="4" max="4" width="15.5703125" bestFit="1" customWidth="1"/>
    <col min="5" max="5" width="15.140625" bestFit="1" customWidth="1"/>
    <col min="6" max="6" width="14.5703125" bestFit="1" customWidth="1"/>
    <col min="7" max="7" width="1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C2" s="1">
        <v>45658</v>
      </c>
      <c r="D2" s="2">
        <v>45664.958333333336</v>
      </c>
      <c r="E2">
        <v>356.58071615295535</v>
      </c>
      <c r="F2">
        <v>314.75262619501234</v>
      </c>
      <c r="G2">
        <v>78.310604071850804</v>
      </c>
    </row>
    <row r="3" spans="1:7" x14ac:dyDescent="0.25">
      <c r="A3">
        <v>1</v>
      </c>
      <c r="B3">
        <v>2</v>
      </c>
      <c r="C3" s="1">
        <v>45665</v>
      </c>
      <c r="D3" s="2">
        <v>45671.958333333336</v>
      </c>
      <c r="E3">
        <v>359.57314590815048</v>
      </c>
      <c r="F3">
        <v>301.38896522577136</v>
      </c>
      <c r="G3">
        <v>50.287671982273793</v>
      </c>
    </row>
    <row r="4" spans="1:7" x14ac:dyDescent="0.25">
      <c r="A4">
        <v>1</v>
      </c>
      <c r="B4">
        <v>3</v>
      </c>
      <c r="C4" s="1">
        <v>45672</v>
      </c>
      <c r="D4" s="2">
        <v>45678.958333333336</v>
      </c>
      <c r="E4">
        <v>758.76152714197212</v>
      </c>
      <c r="F4">
        <v>517.91652702789304</v>
      </c>
      <c r="G4">
        <v>49.176887860924317</v>
      </c>
    </row>
    <row r="5" spans="1:7" x14ac:dyDescent="0.25">
      <c r="A5">
        <v>1</v>
      </c>
      <c r="B5">
        <v>4</v>
      </c>
      <c r="C5" s="1">
        <v>45679</v>
      </c>
      <c r="D5" s="2">
        <v>45685.958333333336</v>
      </c>
      <c r="E5">
        <v>657.9902415101667</v>
      </c>
      <c r="F5">
        <v>583.62284381141865</v>
      </c>
      <c r="G5">
        <v>73.789608077748596</v>
      </c>
    </row>
    <row r="6" spans="1:7" x14ac:dyDescent="0.25">
      <c r="A6">
        <v>1</v>
      </c>
      <c r="B6">
        <v>5</v>
      </c>
      <c r="C6" s="1">
        <v>45686</v>
      </c>
      <c r="D6" s="2">
        <v>45692.958333333336</v>
      </c>
      <c r="E6">
        <v>456.23655897549651</v>
      </c>
      <c r="F6">
        <v>387.81582557080537</v>
      </c>
      <c r="G6">
        <v>48.492821937275451</v>
      </c>
    </row>
    <row r="7" spans="1:7" x14ac:dyDescent="0.25">
      <c r="A7">
        <v>1</v>
      </c>
      <c r="B7">
        <v>6</v>
      </c>
      <c r="C7" s="1">
        <v>45693</v>
      </c>
      <c r="D7" s="2">
        <v>45699.958333333336</v>
      </c>
      <c r="E7">
        <v>320.18661942259956</v>
      </c>
      <c r="F7">
        <v>275.50511368744924</v>
      </c>
      <c r="G7">
        <v>35.554571011858847</v>
      </c>
    </row>
    <row r="8" spans="1:7" x14ac:dyDescent="0.25">
      <c r="A8">
        <v>1</v>
      </c>
      <c r="B8">
        <v>7</v>
      </c>
      <c r="C8" s="1">
        <v>45700</v>
      </c>
      <c r="D8" s="2">
        <v>45706.958333333336</v>
      </c>
      <c r="E8">
        <v>492.51437519495499</v>
      </c>
      <c r="F8">
        <v>412.24897893638939</v>
      </c>
      <c r="G8">
        <v>43.613888233413675</v>
      </c>
    </row>
    <row r="9" spans="1:7" x14ac:dyDescent="0.25">
      <c r="A9">
        <v>1</v>
      </c>
      <c r="B9">
        <v>8</v>
      </c>
      <c r="C9" s="1">
        <v>45707</v>
      </c>
      <c r="D9" s="2">
        <v>45713.958333333336</v>
      </c>
      <c r="E9">
        <v>550.57454267729656</v>
      </c>
      <c r="F9">
        <v>498.94018384995843</v>
      </c>
      <c r="G9">
        <v>65.350875131047758</v>
      </c>
    </row>
    <row r="10" spans="1:7" x14ac:dyDescent="0.25">
      <c r="A10">
        <v>1</v>
      </c>
      <c r="B10">
        <v>9</v>
      </c>
      <c r="C10" s="1">
        <v>45714</v>
      </c>
      <c r="D10" s="2">
        <v>45720.958333333336</v>
      </c>
      <c r="E10">
        <v>362.72913262896753</v>
      </c>
      <c r="F10">
        <v>322.13641596846708</v>
      </c>
      <c r="G10">
        <v>53.037233608837944</v>
      </c>
    </row>
    <row r="11" spans="1:7" x14ac:dyDescent="0.25">
      <c r="A11">
        <v>1</v>
      </c>
      <c r="B11">
        <v>10</v>
      </c>
      <c r="C11" s="1">
        <v>45721</v>
      </c>
      <c r="D11" s="2">
        <v>45727.958333333336</v>
      </c>
      <c r="E11">
        <v>384.37343823585024</v>
      </c>
      <c r="F11">
        <v>327.94037795746112</v>
      </c>
      <c r="G11">
        <v>63.507448447513134</v>
      </c>
    </row>
    <row r="12" spans="1:7" x14ac:dyDescent="0.25">
      <c r="A12">
        <v>1</v>
      </c>
      <c r="B12">
        <v>11</v>
      </c>
      <c r="C12" s="1">
        <v>45728</v>
      </c>
      <c r="D12" s="2">
        <v>45734.958333333336</v>
      </c>
      <c r="E12">
        <v>293.95351264582712</v>
      </c>
      <c r="F12">
        <v>222.63546610741517</v>
      </c>
      <c r="G12">
        <v>34.352388454375834</v>
      </c>
    </row>
    <row r="13" spans="1:7" x14ac:dyDescent="0.25">
      <c r="A13">
        <v>1</v>
      </c>
      <c r="B13">
        <v>12</v>
      </c>
      <c r="C13" s="1">
        <v>45735</v>
      </c>
      <c r="D13" s="2">
        <v>45741.958333333336</v>
      </c>
      <c r="E13">
        <v>433.45959000474386</v>
      </c>
      <c r="F13">
        <v>347.54326004227431</v>
      </c>
      <c r="G13">
        <v>70.272172042858145</v>
      </c>
    </row>
    <row r="14" spans="1:7" x14ac:dyDescent="0.25">
      <c r="A14">
        <v>1</v>
      </c>
      <c r="B14">
        <v>13</v>
      </c>
      <c r="C14" s="1">
        <v>45742</v>
      </c>
      <c r="D14" s="2">
        <v>45748.958333333336</v>
      </c>
      <c r="E14">
        <v>354.81682359137363</v>
      </c>
      <c r="F14">
        <v>282.31638683138107</v>
      </c>
      <c r="G14">
        <v>57.627975978269895</v>
      </c>
    </row>
    <row r="15" spans="1:7" x14ac:dyDescent="0.25">
      <c r="A15">
        <v>1</v>
      </c>
      <c r="B15">
        <v>14</v>
      </c>
      <c r="C15" s="1">
        <v>45749</v>
      </c>
      <c r="D15" s="2">
        <v>45755.958333333336</v>
      </c>
      <c r="E15">
        <v>383.73673961762302</v>
      </c>
      <c r="F15">
        <v>305.8727014585844</v>
      </c>
      <c r="G15">
        <v>68.236189555287382</v>
      </c>
    </row>
    <row r="16" spans="1:7" x14ac:dyDescent="0.25">
      <c r="A16">
        <v>1</v>
      </c>
      <c r="B16">
        <v>15</v>
      </c>
      <c r="C16" s="1">
        <v>45756</v>
      </c>
      <c r="D16" s="2">
        <v>45762.958333333336</v>
      </c>
      <c r="E16">
        <v>377.01023009874359</v>
      </c>
      <c r="F16">
        <v>312.78134835569716</v>
      </c>
      <c r="G16">
        <v>77.591223143290151</v>
      </c>
    </row>
    <row r="17" spans="1:7" x14ac:dyDescent="0.25">
      <c r="A17">
        <v>1</v>
      </c>
      <c r="B17">
        <v>16</v>
      </c>
      <c r="C17" s="1">
        <v>45763</v>
      </c>
      <c r="D17" s="2">
        <v>45769.958333333336</v>
      </c>
      <c r="E17">
        <v>360.94276609943279</v>
      </c>
      <c r="F17">
        <v>306.8460741289349</v>
      </c>
      <c r="G17">
        <v>62.644161938779419</v>
      </c>
    </row>
    <row r="18" spans="1:7" x14ac:dyDescent="0.25">
      <c r="A18">
        <v>1</v>
      </c>
      <c r="B18">
        <v>17</v>
      </c>
      <c r="C18" s="1">
        <v>45770</v>
      </c>
      <c r="D18" s="2">
        <v>45776.958333333336</v>
      </c>
      <c r="E18">
        <v>335.85839115681711</v>
      </c>
      <c r="F18">
        <v>236.93051782086704</v>
      </c>
      <c r="G18">
        <v>51.246614439267724</v>
      </c>
    </row>
    <row r="19" spans="1:7" x14ac:dyDescent="0.25">
      <c r="A19">
        <v>1</v>
      </c>
      <c r="B19">
        <v>18</v>
      </c>
      <c r="C19" s="1">
        <v>45777</v>
      </c>
      <c r="D19" s="2">
        <v>45783.958333333336</v>
      </c>
      <c r="E19">
        <v>330.17408882117547</v>
      </c>
      <c r="F19">
        <v>265.03206736795994</v>
      </c>
      <c r="G19">
        <v>70.032911960723894</v>
      </c>
    </row>
    <row r="20" spans="1:7" x14ac:dyDescent="0.25">
      <c r="A20">
        <v>1</v>
      </c>
      <c r="B20">
        <v>19</v>
      </c>
      <c r="C20" s="1">
        <v>45784</v>
      </c>
      <c r="D20" s="2">
        <v>45790.958333333336</v>
      </c>
      <c r="E20">
        <v>373.5262250017156</v>
      </c>
      <c r="F20">
        <v>322.75175452771845</v>
      </c>
      <c r="G20">
        <v>72.410518033913291</v>
      </c>
    </row>
    <row r="21" spans="1:7" x14ac:dyDescent="0.25">
      <c r="A21">
        <v>1</v>
      </c>
      <c r="B21">
        <v>20</v>
      </c>
      <c r="C21" s="1">
        <v>45791</v>
      </c>
      <c r="D21" s="2">
        <v>45797.958333333336</v>
      </c>
      <c r="E21">
        <v>377.93464226527232</v>
      </c>
      <c r="F21">
        <v>318.53249587004655</v>
      </c>
      <c r="G21">
        <v>77.380117041442148</v>
      </c>
    </row>
    <row r="22" spans="1:7" x14ac:dyDescent="0.25">
      <c r="A22">
        <v>1</v>
      </c>
      <c r="B22">
        <v>21</v>
      </c>
      <c r="C22" s="1">
        <v>45798</v>
      </c>
      <c r="D22" s="2">
        <v>45804.958333333336</v>
      </c>
      <c r="E22">
        <v>394.64830535011913</v>
      </c>
      <c r="F22">
        <v>346.95981882172902</v>
      </c>
      <c r="G22">
        <v>102.18518503488305</v>
      </c>
    </row>
    <row r="23" spans="1:7" x14ac:dyDescent="0.25">
      <c r="A23">
        <v>1</v>
      </c>
      <c r="B23">
        <v>22</v>
      </c>
      <c r="C23" s="1">
        <v>45805</v>
      </c>
      <c r="D23" s="2">
        <v>45811.958333333336</v>
      </c>
      <c r="E23">
        <v>377.61642422414025</v>
      </c>
      <c r="F23">
        <v>319.83967114097749</v>
      </c>
      <c r="G23">
        <v>95.239301168683838</v>
      </c>
    </row>
    <row r="24" spans="1:7" x14ac:dyDescent="0.25">
      <c r="A24">
        <v>1</v>
      </c>
      <c r="B24">
        <v>23</v>
      </c>
      <c r="C24" s="1">
        <v>45812</v>
      </c>
      <c r="D24" s="2">
        <v>45818.958333333336</v>
      </c>
      <c r="E24">
        <v>307.32357782964897</v>
      </c>
      <c r="F24">
        <v>262.10578821032374</v>
      </c>
      <c r="G24">
        <v>79.037965777938723</v>
      </c>
    </row>
    <row r="25" spans="1:7" x14ac:dyDescent="0.25">
      <c r="A25">
        <v>1</v>
      </c>
      <c r="B25">
        <v>24</v>
      </c>
      <c r="C25" s="1">
        <v>45819</v>
      </c>
      <c r="D25" s="2">
        <v>45825.958333333336</v>
      </c>
      <c r="E25">
        <v>370.90025905588726</v>
      </c>
      <c r="F25">
        <v>334.5707614616519</v>
      </c>
      <c r="G25">
        <v>96.716270477227965</v>
      </c>
    </row>
    <row r="26" spans="1:7" x14ac:dyDescent="0.25">
      <c r="A26">
        <v>1</v>
      </c>
      <c r="B26">
        <v>25</v>
      </c>
      <c r="C26" s="1">
        <v>45826</v>
      </c>
      <c r="D26" s="2">
        <v>45832.958333333336</v>
      </c>
      <c r="E26">
        <v>402.61614145660934</v>
      </c>
      <c r="F26">
        <v>360.91651611151855</v>
      </c>
      <c r="G26">
        <v>102.04012217738412</v>
      </c>
    </row>
    <row r="27" spans="1:7" x14ac:dyDescent="0.25">
      <c r="A27">
        <v>1</v>
      </c>
      <c r="B27">
        <v>26</v>
      </c>
      <c r="C27" s="1">
        <v>45833</v>
      </c>
      <c r="D27" s="2">
        <v>45839.958333333336</v>
      </c>
      <c r="E27">
        <v>551.97097380689661</v>
      </c>
      <c r="F27">
        <v>370.48563670639834</v>
      </c>
      <c r="G27">
        <v>84.42641986388567</v>
      </c>
    </row>
    <row r="28" spans="1:7" x14ac:dyDescent="0.25">
      <c r="A28">
        <v>1</v>
      </c>
      <c r="B28">
        <v>27</v>
      </c>
      <c r="C28" s="1">
        <v>45840</v>
      </c>
      <c r="D28" s="2">
        <v>45846.958333333336</v>
      </c>
      <c r="E28">
        <v>344.08800012284479</v>
      </c>
      <c r="F28">
        <v>272.18964653573829</v>
      </c>
      <c r="G28">
        <v>64.484568549561914</v>
      </c>
    </row>
    <row r="29" spans="1:7" x14ac:dyDescent="0.25">
      <c r="A29">
        <v>1</v>
      </c>
      <c r="B29">
        <v>28</v>
      </c>
      <c r="C29" s="1">
        <v>45847</v>
      </c>
      <c r="D29" s="2">
        <v>45853.958333333336</v>
      </c>
      <c r="E29">
        <v>275.97970008396675</v>
      </c>
      <c r="F29">
        <v>234.53530895543076</v>
      </c>
      <c r="G29">
        <v>45.184002935288042</v>
      </c>
    </row>
    <row r="30" spans="1:7" x14ac:dyDescent="0.25">
      <c r="A30">
        <v>1</v>
      </c>
      <c r="B30">
        <v>29</v>
      </c>
      <c r="C30" s="1">
        <v>45854</v>
      </c>
      <c r="D30" s="2">
        <v>45860.958333333336</v>
      </c>
      <c r="E30">
        <v>236.50238220042198</v>
      </c>
      <c r="F30">
        <v>166.05295032979157</v>
      </c>
      <c r="G30">
        <v>32.918048434374228</v>
      </c>
    </row>
    <row r="31" spans="1:7" x14ac:dyDescent="0.25">
      <c r="A31">
        <v>1</v>
      </c>
      <c r="B31">
        <v>30</v>
      </c>
      <c r="C31" s="1">
        <v>45861</v>
      </c>
      <c r="D31" s="2">
        <v>45867.958333333336</v>
      </c>
      <c r="E31">
        <v>238.31160609256477</v>
      </c>
      <c r="F31">
        <v>169.49316013721199</v>
      </c>
      <c r="G31">
        <v>34.751354019973753</v>
      </c>
    </row>
    <row r="32" spans="1:7" x14ac:dyDescent="0.25">
      <c r="A32">
        <v>1</v>
      </c>
      <c r="B32">
        <v>31</v>
      </c>
      <c r="C32" s="1">
        <v>45868</v>
      </c>
      <c r="D32" s="2">
        <v>45874.958333333336</v>
      </c>
      <c r="E32">
        <v>343.06974809678843</v>
      </c>
      <c r="F32">
        <v>270.77032490437978</v>
      </c>
      <c r="G32">
        <v>75.668536463295993</v>
      </c>
    </row>
    <row r="33" spans="1:7" x14ac:dyDescent="0.25">
      <c r="A33">
        <v>1</v>
      </c>
      <c r="B33">
        <v>32</v>
      </c>
      <c r="C33" s="1">
        <v>45875</v>
      </c>
      <c r="D33" s="2">
        <v>45881.958333333336</v>
      </c>
      <c r="E33">
        <v>415.352125394486</v>
      </c>
      <c r="F33">
        <v>386.92196976400123</v>
      </c>
      <c r="G33">
        <v>108.70869488945705</v>
      </c>
    </row>
    <row r="34" spans="1:7" x14ac:dyDescent="0.25">
      <c r="A34">
        <v>1</v>
      </c>
      <c r="B34">
        <v>33</v>
      </c>
      <c r="C34" s="1">
        <v>45882</v>
      </c>
      <c r="D34" s="2">
        <v>45888.958333333336</v>
      </c>
      <c r="E34">
        <v>343.72362603243226</v>
      </c>
      <c r="F34">
        <v>262.17721958977927</v>
      </c>
      <c r="G34">
        <v>53.812508313760631</v>
      </c>
    </row>
    <row r="35" spans="1:7" x14ac:dyDescent="0.25">
      <c r="A35">
        <v>1</v>
      </c>
      <c r="B35">
        <v>34</v>
      </c>
      <c r="C35" s="1">
        <v>45889</v>
      </c>
      <c r="D35" s="2">
        <v>45895.958333333336</v>
      </c>
      <c r="E35">
        <v>298.96524489975417</v>
      </c>
      <c r="F35">
        <v>227.26417463373915</v>
      </c>
      <c r="G35">
        <v>48.174227766037738</v>
      </c>
    </row>
    <row r="36" spans="1:7" x14ac:dyDescent="0.25">
      <c r="A36">
        <v>1</v>
      </c>
      <c r="B36">
        <v>35</v>
      </c>
      <c r="C36" s="1">
        <v>45896</v>
      </c>
      <c r="D36" s="2">
        <v>45902.958333333336</v>
      </c>
      <c r="E36">
        <v>364.14370582017125</v>
      </c>
      <c r="F36">
        <v>246.60114453570517</v>
      </c>
      <c r="G36">
        <v>40.712126719374048</v>
      </c>
    </row>
    <row r="37" spans="1:7" x14ac:dyDescent="0.25">
      <c r="A37">
        <v>1</v>
      </c>
      <c r="B37">
        <v>36</v>
      </c>
      <c r="C37" s="1">
        <v>45903</v>
      </c>
      <c r="D37" s="2">
        <v>45909.958333333336</v>
      </c>
      <c r="E37">
        <v>497.94048721198027</v>
      </c>
      <c r="F37">
        <v>316.76534542671129</v>
      </c>
      <c r="G37">
        <v>54.528060487374511</v>
      </c>
    </row>
    <row r="38" spans="1:7" x14ac:dyDescent="0.25">
      <c r="A38">
        <v>1</v>
      </c>
      <c r="B38">
        <v>37</v>
      </c>
      <c r="C38" s="1">
        <v>45910</v>
      </c>
      <c r="D38" s="2">
        <v>45916.958333333336</v>
      </c>
      <c r="E38">
        <v>554.35087359998295</v>
      </c>
      <c r="F38">
        <v>468.34009141849077</v>
      </c>
      <c r="G38">
        <v>108.35587659054676</v>
      </c>
    </row>
    <row r="39" spans="1:7" x14ac:dyDescent="0.25">
      <c r="A39">
        <v>1</v>
      </c>
      <c r="B39">
        <v>38</v>
      </c>
      <c r="C39" s="1">
        <v>45917</v>
      </c>
      <c r="D39" s="2">
        <v>45923.958333333336</v>
      </c>
      <c r="E39">
        <v>368.9610736878833</v>
      </c>
      <c r="F39">
        <v>313.83826869202858</v>
      </c>
      <c r="G39">
        <v>116.47632110580575</v>
      </c>
    </row>
    <row r="40" spans="1:7" x14ac:dyDescent="0.25">
      <c r="A40">
        <v>1</v>
      </c>
      <c r="B40">
        <v>39</v>
      </c>
      <c r="C40" s="1">
        <v>45924</v>
      </c>
      <c r="D40" s="2">
        <v>45930.958333333336</v>
      </c>
      <c r="E40">
        <v>497.7091283656452</v>
      </c>
      <c r="F40">
        <v>369.72260067497359</v>
      </c>
      <c r="G40">
        <v>64.936531800975644</v>
      </c>
    </row>
    <row r="41" spans="1:7" x14ac:dyDescent="0.25">
      <c r="A41">
        <v>1</v>
      </c>
      <c r="B41">
        <v>40</v>
      </c>
      <c r="C41" s="1">
        <v>45931</v>
      </c>
      <c r="D41" s="2">
        <v>45937.958333333336</v>
      </c>
      <c r="E41">
        <v>561.31803881700148</v>
      </c>
      <c r="F41">
        <v>449.58466605278608</v>
      </c>
      <c r="G41">
        <v>90.947079976321803</v>
      </c>
    </row>
    <row r="42" spans="1:7" x14ac:dyDescent="0.25">
      <c r="A42">
        <v>1</v>
      </c>
      <c r="B42">
        <v>41</v>
      </c>
      <c r="C42" s="1">
        <v>45938</v>
      </c>
      <c r="D42" s="2">
        <v>45944.958333333336</v>
      </c>
      <c r="E42">
        <v>481.7682014047333</v>
      </c>
      <c r="F42">
        <v>301.2304644817853</v>
      </c>
      <c r="G42">
        <v>39.193116890750915</v>
      </c>
    </row>
    <row r="43" spans="1:7" x14ac:dyDescent="0.25">
      <c r="A43">
        <v>1</v>
      </c>
      <c r="B43">
        <v>42</v>
      </c>
      <c r="C43" s="1">
        <v>45945</v>
      </c>
      <c r="D43" s="2">
        <v>45951.958333333336</v>
      </c>
      <c r="E43">
        <v>329.02068523350664</v>
      </c>
      <c r="F43">
        <v>267.17132445161116</v>
      </c>
      <c r="G43">
        <v>37.762485330290623</v>
      </c>
    </row>
    <row r="44" spans="1:7" x14ac:dyDescent="0.25">
      <c r="A44">
        <v>1</v>
      </c>
      <c r="B44">
        <v>43</v>
      </c>
      <c r="C44" s="1">
        <v>45952</v>
      </c>
      <c r="D44" s="2">
        <v>45958.958333333336</v>
      </c>
      <c r="E44">
        <v>377.25524293289448</v>
      </c>
      <c r="F44">
        <v>289.09588534684815</v>
      </c>
      <c r="G44">
        <v>77.038763865470813</v>
      </c>
    </row>
    <row r="45" spans="1:7" x14ac:dyDescent="0.25">
      <c r="A45">
        <v>1</v>
      </c>
      <c r="B45">
        <v>44</v>
      </c>
      <c r="C45" s="1">
        <v>45959</v>
      </c>
      <c r="D45" s="2">
        <v>45965.958333333336</v>
      </c>
      <c r="E45">
        <v>238.35889824999236</v>
      </c>
      <c r="F45">
        <v>200.80853623516538</v>
      </c>
      <c r="G45">
        <v>46.775331608234303</v>
      </c>
    </row>
    <row r="46" spans="1:7" x14ac:dyDescent="0.25">
      <c r="A46">
        <v>1</v>
      </c>
      <c r="B46">
        <v>45</v>
      </c>
      <c r="C46" s="1">
        <v>45966</v>
      </c>
      <c r="D46" s="2">
        <v>45972.958333333336</v>
      </c>
      <c r="E46">
        <v>304.65242910764454</v>
      </c>
      <c r="F46">
        <v>259.58364845549482</v>
      </c>
      <c r="G46">
        <v>39.951022244290499</v>
      </c>
    </row>
    <row r="47" spans="1:7" x14ac:dyDescent="0.25">
      <c r="A47">
        <v>1</v>
      </c>
      <c r="B47">
        <v>46</v>
      </c>
      <c r="C47" s="1">
        <v>45973</v>
      </c>
      <c r="D47" s="2">
        <v>45979.958333333336</v>
      </c>
      <c r="E47">
        <v>240.78319712840562</v>
      </c>
      <c r="F47">
        <v>184.48009177493134</v>
      </c>
      <c r="G47">
        <v>30.758687387345667</v>
      </c>
    </row>
    <row r="48" spans="1:7" x14ac:dyDescent="0.25">
      <c r="A48">
        <v>1</v>
      </c>
      <c r="B48">
        <v>47</v>
      </c>
      <c r="C48" s="1">
        <v>45980</v>
      </c>
      <c r="D48" s="2">
        <v>45986.958333333336</v>
      </c>
      <c r="E48">
        <v>537.9954843898978</v>
      </c>
      <c r="F48">
        <v>335.46684409766732</v>
      </c>
      <c r="G48">
        <v>34.641710443483689</v>
      </c>
    </row>
    <row r="49" spans="1:7" x14ac:dyDescent="0.25">
      <c r="A49">
        <v>1</v>
      </c>
      <c r="B49">
        <v>48</v>
      </c>
      <c r="C49" s="1">
        <v>45987</v>
      </c>
      <c r="D49" s="2">
        <v>45993.958333333336</v>
      </c>
      <c r="E49">
        <v>486.63963992937414</v>
      </c>
      <c r="F49">
        <v>454.94062689031091</v>
      </c>
      <c r="G49">
        <v>59.23361689701413</v>
      </c>
    </row>
    <row r="50" spans="1:7" x14ac:dyDescent="0.25">
      <c r="A50">
        <v>1</v>
      </c>
      <c r="B50">
        <v>49</v>
      </c>
      <c r="C50" s="1">
        <v>45994</v>
      </c>
      <c r="D50" s="2">
        <v>46000.958333333336</v>
      </c>
      <c r="E50">
        <v>370.79110546286745</v>
      </c>
      <c r="F50">
        <v>254.36907127463763</v>
      </c>
      <c r="G50">
        <v>36.010938074745994</v>
      </c>
    </row>
    <row r="51" spans="1:7" x14ac:dyDescent="0.25">
      <c r="A51">
        <v>1</v>
      </c>
      <c r="B51">
        <v>50</v>
      </c>
      <c r="C51" s="1">
        <v>46001</v>
      </c>
      <c r="D51" s="2">
        <v>46007.958333333336</v>
      </c>
      <c r="E51">
        <v>258.23554615610203</v>
      </c>
      <c r="F51">
        <v>209.37007519679315</v>
      </c>
      <c r="G51">
        <v>38.819189291197567</v>
      </c>
    </row>
    <row r="52" spans="1:7" x14ac:dyDescent="0.25">
      <c r="A52">
        <v>1</v>
      </c>
      <c r="B52">
        <v>51</v>
      </c>
      <c r="C52" s="1">
        <v>46008</v>
      </c>
      <c r="D52" s="2">
        <v>46014.958333333336</v>
      </c>
      <c r="E52">
        <v>194.2483739123671</v>
      </c>
      <c r="F52">
        <v>145.99345415399767</v>
      </c>
      <c r="G52">
        <v>27.619513422741083</v>
      </c>
    </row>
    <row r="53" spans="1:7" x14ac:dyDescent="0.25">
      <c r="A53">
        <v>1</v>
      </c>
      <c r="B53">
        <v>52</v>
      </c>
      <c r="C53" s="1">
        <v>46015</v>
      </c>
      <c r="D53" s="2">
        <v>46021.958333333336</v>
      </c>
      <c r="E53">
        <v>113.38428615488887</v>
      </c>
      <c r="F53">
        <v>93.253941156377437</v>
      </c>
      <c r="G53">
        <v>15.747242190846105</v>
      </c>
    </row>
    <row r="54" spans="1:7" x14ac:dyDescent="0.25">
      <c r="A54">
        <v>1</v>
      </c>
      <c r="B54">
        <v>53</v>
      </c>
      <c r="C54" s="1">
        <v>46022</v>
      </c>
      <c r="D54" s="2">
        <v>46022.958333333336</v>
      </c>
      <c r="E54">
        <v>92.280434878104359</v>
      </c>
      <c r="F54">
        <v>68.720558914698771</v>
      </c>
      <c r="G54">
        <v>10.880214171952428</v>
      </c>
    </row>
    <row r="55" spans="1:7" x14ac:dyDescent="0.25">
      <c r="A55" t="s">
        <v>7</v>
      </c>
      <c r="C55" s="1"/>
      <c r="D55" s="2"/>
      <c r="E55" s="3" cm="1">
        <f t="array" ref="E55">SQRT(SUM(POWER(E2:E54,2))/COUNTA(E2:E54))</f>
        <v>397.95658010969493</v>
      </c>
      <c r="F55" s="3">
        <f>AVERAGE(F2:F54)</f>
        <v>303.34206636368282</v>
      </c>
      <c r="G55" s="3">
        <f>AVERAGE(G2:G54)</f>
        <v>60.31416825134842</v>
      </c>
    </row>
    <row r="56" spans="1:7" x14ac:dyDescent="0.25">
      <c r="C56" s="1"/>
      <c r="D56" s="2"/>
      <c r="E56">
        <v>413.82</v>
      </c>
      <c r="F56">
        <v>302.81</v>
      </c>
      <c r="G56">
        <v>63.5</v>
      </c>
    </row>
    <row r="57" spans="1:7" x14ac:dyDescent="0.25">
      <c r="C57" s="1"/>
      <c r="D57" s="2"/>
      <c r="E57">
        <v>341.39</v>
      </c>
      <c r="F57">
        <v>243.73</v>
      </c>
      <c r="G57">
        <v>56.59</v>
      </c>
    </row>
    <row r="58" spans="1:7" x14ac:dyDescent="0.25">
      <c r="C58" s="1"/>
      <c r="D58" s="2"/>
      <c r="E58">
        <f>AVERAGE(E55:E57)</f>
        <v>384.38886003656495</v>
      </c>
      <c r="F58">
        <f t="shared" ref="F58:G58" si="0">AVERAGE(F55:F57)</f>
        <v>283.29402212122761</v>
      </c>
      <c r="G58">
        <f t="shared" si="0"/>
        <v>60.134722750449477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B1B20B-A19F-4EBC-9245-073B205277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DK1_weekly_results_MA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2026-05-28T09:01:53Z</dcterms:modified>
</cp:coreProperties>
</file>